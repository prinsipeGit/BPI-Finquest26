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WHERE TO GET IT" sheetId="2" state="visible" r:id="rId2"/>
    <sheet xmlns:r="http://schemas.openxmlformats.org/officeDocument/2006/relationships" name="SCORECARD" sheetId="3" state="visible" r:id="rId3"/>
    <sheet xmlns:r="http://schemas.openxmlformats.org/officeDocument/2006/relationships" name="ICT" sheetId="4" state="visible" r:id="rId4"/>
    <sheet xmlns:r="http://schemas.openxmlformats.org/officeDocument/2006/relationships" name="ACEN" sheetId="5" state="visible" r:id="rId5"/>
    <sheet xmlns:r="http://schemas.openxmlformats.org/officeDocument/2006/relationships" name="VRT" sheetId="6" state="visible" r:id="rId6"/>
    <sheet xmlns:r="http://schemas.openxmlformats.org/officeDocument/2006/relationships" name="CNPF" sheetId="7" state="visible" r:id="rId7"/>
    <sheet xmlns:r="http://schemas.openxmlformats.org/officeDocument/2006/relationships" name="D05" sheetId="8" state="visible" r:id="rId8"/>
    <sheet xmlns:r="http://schemas.openxmlformats.org/officeDocument/2006/relationships" name="Q0F" sheetId="9" state="visible" r:id="rId9"/>
    <sheet xmlns:r="http://schemas.openxmlformats.org/officeDocument/2006/relationships" name="SU" sheetId="10" state="visible" r:id="rId10"/>
    <sheet xmlns:r="http://schemas.openxmlformats.org/officeDocument/2006/relationships" name="TSM" sheetId="11" state="visible" r:id="rId11"/>
    <sheet xmlns:r="http://schemas.openxmlformats.org/officeDocument/2006/relationships" name="SE" sheetId="12" state="visible" r:id="rId12"/>
    <sheet xmlns:r="http://schemas.openxmlformats.org/officeDocument/2006/relationships" name="GRA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+0;-0;0"/>
  </numFmts>
  <fonts count="11">
    <font>
      <name val="Calibri"/>
      <family val="2"/>
      <color theme="1"/>
      <sz val="11"/>
      <scheme val="minor"/>
    </font>
    <font>
      <name val="Arial"/>
      <b val="1"/>
      <color rgb="0000833F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777777"/>
      <sz val="9"/>
    </font>
    <font>
      <name val="Arial"/>
      <color rgb="00777777"/>
      <sz val="9"/>
    </font>
    <font>
      <name val="Arial"/>
      <color rgb="00555555"/>
      <sz val="9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A3A3A"/>
      </patternFill>
    </fill>
    <fill>
      <patternFill patternType="solid">
        <fgColor rgb="00FFF9C4"/>
      </patternFill>
    </fill>
    <fill>
      <patternFill patternType="solid">
        <fgColor rgb="00EDEDED"/>
      </patternFill>
    </fill>
    <fill>
      <patternFill patternType="solid">
        <fgColor rgb="0000833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5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pivotButton="0" quotePrefix="0" xfId="0"/>
    <xf numFmtId="0" fontId="4" fillId="0" borderId="1" pivotButton="0" quotePrefix="0" xfId="0"/>
    <xf numFmtId="1" fontId="4" fillId="0" borderId="1" pivotButton="0" quotePrefix="0" xfId="0"/>
    <xf numFmtId="166" fontId="4" fillId="0" borderId="1" pivotButton="0" quotePrefix="0" xfId="0"/>
    <xf numFmtId="0" fontId="3" fillId="3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164" fontId="4" fillId="3" borderId="1" pivotButton="0" quotePrefix="0" xfId="0"/>
    <xf numFmtId="165" fontId="4" fillId="3" borderId="1" pivotButton="0" quotePrefix="0" xfId="0"/>
    <xf numFmtId="0" fontId="9" fillId="0" borderId="0" applyAlignment="1" pivotButton="0" quotePrefix="0" xfId="0">
      <alignment vertical="top" wrapText="1"/>
    </xf>
    <xf numFmtId="0" fontId="5" fillId="4" borderId="0" pivotButton="0" quotePrefix="0" xfId="0"/>
    <xf numFmtId="9" fontId="4" fillId="0" borderId="0" pivotButton="0" quotePrefix="0" xfId="0"/>
    <xf numFmtId="1" fontId="10" fillId="5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88" customWidth="1" min="3" max="3"/>
  </cols>
  <sheetData>
    <row r="2">
      <c r="B2" s="1" t="inlineStr">
        <is>
          <t>THE FIRSTS FUND — EQUITY RESEARCH WORKSHEET</t>
        </is>
      </c>
    </row>
    <row r="3">
      <c r="B3" s="2" t="inlineStr">
        <is>
          <t>What still needs researching before Phase 2. FinQuest 2026 · Team Firsts</t>
        </is>
      </c>
    </row>
    <row r="5" ht="30" customHeight="1">
      <c r="B5" s="3" t="inlineStr"/>
      <c r="C5" s="4" t="inlineStr"/>
    </row>
    <row r="6">
      <c r="B6" s="5" t="inlineStr">
        <is>
          <t>WHY THIS EXISTS</t>
        </is>
      </c>
      <c r="C6" s="6" t="inlineStr"/>
    </row>
    <row r="7" ht="30" customHeight="1">
      <c r="B7" s="3" t="inlineStr">
        <is>
          <t>The problem</t>
        </is>
      </c>
      <c r="C7" s="4" t="inlineStr">
        <is>
          <t>Fund weights = CONVICTION / VOLATILITY. Volatility came from 1,293 days of real price data. Conviction (88 for ICTSI, 70 for Grab) was assigned by judgment — no financial statement was read.</t>
        </is>
      </c>
    </row>
    <row r="8" ht="30" customHeight="1">
      <c r="B8" s="3" t="inlineStr">
        <is>
          <t>What that means</t>
        </is>
      </c>
      <c r="C8" s="4" t="inlineStr">
        <is>
          <t>Half the weighting formula is empirically grounded. Half is not. This workbook closes that gap.</t>
        </is>
      </c>
    </row>
    <row r="9" ht="30" customHeight="1">
      <c r="B9" s="3" t="inlineStr">
        <is>
          <t>Also unverified</t>
        </is>
      </c>
      <c r="C9" s="4" t="inlineStr">
        <is>
          <t>The Buildout Test gates (B1 liquidity/capex, B2 ADTV &amp; free float, B3 solvency, B4 conduct) were applied judgmentally. Only Grab B3 was actually tested against financials.</t>
        </is>
      </c>
    </row>
    <row r="10" ht="30" customHeight="1">
      <c r="B10" s="3" t="inlineStr"/>
      <c r="C10" s="4" t="inlineStr"/>
    </row>
    <row r="11">
      <c r="B11" s="5" t="inlineStr">
        <is>
          <t>HOW TO USE IT</t>
        </is>
      </c>
      <c r="C11" s="6" t="inlineStr"/>
    </row>
    <row r="12" ht="30" customHeight="1">
      <c r="B12" s="3" t="inlineStr">
        <is>
          <t>1. Split the work</t>
        </is>
      </c>
      <c r="C12" s="4" t="inlineStr">
        <is>
          <t>Three people, one company each. Priority order: ICTSI, ACEN, Vertiv — largest PH position, the DOE-target anchor, and the highest-volatility holding.</t>
        </is>
      </c>
    </row>
    <row r="13" ht="30" customHeight="1">
      <c r="B13" s="3" t="inlineStr">
        <is>
          <t>2. Fill the BLUE cells only</t>
        </is>
      </c>
      <c r="C13" s="4" t="inlineStr">
        <is>
          <t>Blue = you type a number or a note. Black = calculated automatically. Do not overwrite black cells.</t>
        </is>
      </c>
    </row>
    <row r="14" ht="30" customHeight="1">
      <c r="B14" s="3" t="inlineStr">
        <is>
          <t>3. Cite everything</t>
        </is>
      </c>
      <c r="C14" s="4" t="inlineStr">
        <is>
          <t>Every number needs a source cell: document name, page or section. "Annual Report 2025, p.87, Note 14".</t>
        </is>
      </c>
    </row>
    <row r="15" ht="30" customHeight="1">
      <c r="B15" s="3" t="inlineStr">
        <is>
          <t>4. Check the SCORECARD tab</t>
        </is>
      </c>
      <c r="C15" s="4" t="inlineStr">
        <is>
          <t>Conviction scores recompute automatically as you fill in each company sheet.</t>
        </is>
      </c>
    </row>
    <row r="16" ht="30" customHeight="1">
      <c r="B16" s="3" t="inlineStr">
        <is>
          <t>5. Re-run the engine</t>
        </is>
      </c>
      <c r="C16" s="4" t="inlineStr">
        <is>
          <t>Open firsts_fund_engine.py, replace the conviction numbers in HOLDINGS, re-run. Weights update.</t>
        </is>
      </c>
    </row>
    <row r="17" ht="30" customHeight="1">
      <c r="B17" s="3" t="inlineStr"/>
      <c r="C17" s="4" t="inlineStr"/>
    </row>
    <row r="18">
      <c r="B18" s="5" t="inlineStr">
        <is>
          <t>REALISTIC SCOPE</t>
        </is>
      </c>
      <c r="C18" s="6" t="inlineStr"/>
    </row>
    <row r="19" ht="30" customHeight="1">
      <c r="B19" s="3" t="inlineStr">
        <is>
          <t>Time per company</t>
        </is>
      </c>
      <c r="C19" s="4" t="inlineStr">
        <is>
          <t>2-3 hours. Download annual report, pull ~12 numbers, compute 6 ratios.</t>
        </is>
      </c>
    </row>
    <row r="20" ht="30" customHeight="1">
      <c r="B20" s="3" t="inlineStr">
        <is>
          <t>If you only do three</t>
        </is>
      </c>
      <c r="C20" s="4" t="inlineStr">
        <is>
          <t>You can honestly say: "We ran the full FIRST rubric on our three highest-conviction names; here is the working." That is far stronger than a clean table nobody tested.</t>
        </is>
      </c>
    </row>
    <row r="21" ht="30" customHeight="1">
      <c r="B21" s="3" t="inlineStr">
        <is>
          <t>Do NOT fabricate</t>
        </is>
      </c>
      <c r="C21" s="4" t="inlineStr">
        <is>
          <t>A made-up ROIC collapses the moment a judge asks how you got it. Leave a cell blank and say "not yet verified" instead.</t>
        </is>
      </c>
    </row>
    <row r="23">
      <c r="B23" s="3" t="inlineStr">
        <is>
          <t>LEGEND</t>
        </is>
      </c>
    </row>
    <row r="24">
      <c r="B24" s="7" t="inlineStr">
        <is>
          <t>Blue text</t>
        </is>
      </c>
      <c r="C24" s="8" t="inlineStr">
        <is>
          <t>You fill this in</t>
        </is>
      </c>
    </row>
    <row r="25">
      <c r="B25" s="8" t="inlineStr">
        <is>
          <t>Black text</t>
        </is>
      </c>
      <c r="C25" s="8" t="inlineStr">
        <is>
          <t>Calculated — do not edit</t>
        </is>
      </c>
    </row>
    <row r="26">
      <c r="B26" s="9" t="inlineStr">
        <is>
          <t>Yellow fill</t>
        </is>
      </c>
      <c r="C26" s="8" t="inlineStr">
        <is>
          <t>Key output that feeds the scorecard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6" customWidth="1" min="3" max="3"/>
    <col width="34" customWidth="1" min="4" max="4"/>
    <col width="44" customWidth="1" min="5" max="5"/>
  </cols>
  <sheetData>
    <row r="2">
      <c r="B2" s="1" t="inlineStr">
        <is>
          <t>WHERE TO FIND THE FILINGS</t>
        </is>
      </c>
    </row>
    <row r="3">
      <c r="B3" s="2" t="inlineStr">
        <is>
          <t>All free. No terminal required.</t>
        </is>
      </c>
    </row>
    <row r="5">
      <c r="B5" s="10" t="inlineStr">
        <is>
          <t>Ticker</t>
        </is>
      </c>
      <c r="C5" s="10" t="inlineStr">
        <is>
          <t>Company</t>
        </is>
      </c>
      <c r="D5" s="10" t="inlineStr">
        <is>
          <t>Exchange / Source</t>
        </is>
      </c>
      <c r="E5" s="10" t="inlineStr">
        <is>
          <t>Document to download</t>
        </is>
      </c>
    </row>
    <row r="6">
      <c r="B6" s="11" t="inlineStr">
        <is>
          <t>ICT</t>
        </is>
      </c>
      <c r="C6" s="12" t="inlineStr">
        <is>
          <t>Int'l Container Terminal Services</t>
        </is>
      </c>
      <c r="D6" s="12" t="inlineStr">
        <is>
          <t>PSE EDGE (edge.pse.com.ph)</t>
        </is>
      </c>
      <c r="E6" s="12" t="inlineStr">
        <is>
          <t>Annual Report 2025 + SEC Form 17-A</t>
        </is>
      </c>
    </row>
    <row r="7">
      <c r="B7" s="11" t="inlineStr">
        <is>
          <t>CNPF</t>
        </is>
      </c>
      <c r="C7" s="12" t="inlineStr">
        <is>
          <t>Century Pacific Food</t>
        </is>
      </c>
      <c r="D7" s="12" t="inlineStr">
        <is>
          <t>PSE EDGE</t>
        </is>
      </c>
      <c r="E7" s="12" t="inlineStr">
        <is>
          <t>Annual Report 2025 + 17-A</t>
        </is>
      </c>
    </row>
    <row r="8">
      <c r="B8" s="11" t="inlineStr">
        <is>
          <t>ACEN</t>
        </is>
      </c>
      <c r="C8" s="12" t="inlineStr">
        <is>
          <t>ACEN Corporation</t>
        </is>
      </c>
      <c r="D8" s="12" t="inlineStr">
        <is>
          <t>PSE EDGE</t>
        </is>
      </c>
      <c r="E8" s="12" t="inlineStr">
        <is>
          <t>Annual Report 2025 + 17-A + sustainability report (for MW)</t>
        </is>
      </c>
    </row>
    <row r="9">
      <c r="B9" s="11" t="inlineStr">
        <is>
          <t>D05</t>
        </is>
      </c>
      <c r="C9" s="12" t="inlineStr">
        <is>
          <t>DBS Group Holdings</t>
        </is>
      </c>
      <c r="D9" s="12" t="inlineStr">
        <is>
          <t>SGXNet / dbs.com investor relations</t>
        </is>
      </c>
      <c r="E9" s="12" t="inlineStr">
        <is>
          <t>Annual Report 2025</t>
        </is>
      </c>
    </row>
    <row r="10">
      <c r="B10" s="11" t="inlineStr">
        <is>
          <t>Q0F</t>
        </is>
      </c>
      <c r="C10" s="12" t="inlineStr">
        <is>
          <t>IHH Healthcare</t>
        </is>
      </c>
      <c r="D10" s="12" t="inlineStr">
        <is>
          <t>SGXNet / Bursa Malaysia</t>
        </is>
      </c>
      <c r="E10" s="12" t="inlineStr">
        <is>
          <t>Annual Report 2025</t>
        </is>
      </c>
    </row>
    <row r="11">
      <c r="B11" s="11" t="inlineStr">
        <is>
          <t>SU</t>
        </is>
      </c>
      <c r="C11" s="12" t="inlineStr">
        <is>
          <t>Schneider Electric</t>
        </is>
      </c>
      <c r="D11" s="12" t="inlineStr">
        <is>
          <t>se.com investor relations</t>
        </is>
      </c>
      <c r="E11" s="12" t="inlineStr">
        <is>
          <t>Universal Registration Document 2025</t>
        </is>
      </c>
    </row>
    <row r="12">
      <c r="B12" s="11" t="inlineStr">
        <is>
          <t>TSM</t>
        </is>
      </c>
      <c r="C12" s="12" t="inlineStr">
        <is>
          <t>Taiwan Semiconductor</t>
        </is>
      </c>
      <c r="D12" s="12" t="inlineStr">
        <is>
          <t>SEC EDGAR (form 20-F)</t>
        </is>
      </c>
      <c r="E12" s="12" t="inlineStr">
        <is>
          <t>20-F FY2025 + quarterly capex guidance</t>
        </is>
      </c>
    </row>
    <row r="13">
      <c r="B13" s="11" t="inlineStr">
        <is>
          <t>VRT</t>
        </is>
      </c>
      <c r="C13" s="12" t="inlineStr">
        <is>
          <t>Vertiv Holdings</t>
        </is>
      </c>
      <c r="D13" s="12" t="inlineStr">
        <is>
          <t>SEC EDGAR (form 10-K)</t>
        </is>
      </c>
      <c r="E13" s="12" t="inlineStr">
        <is>
          <t>10-K FY2025 + backlog disclosure</t>
        </is>
      </c>
    </row>
    <row r="14">
      <c r="B14" s="11" t="inlineStr">
        <is>
          <t>SE</t>
        </is>
      </c>
      <c r="C14" s="12" t="inlineStr">
        <is>
          <t>Sea Limited</t>
        </is>
      </c>
      <c r="D14" s="12" t="inlineStr">
        <is>
          <t>SEC EDGAR (form 20-F)</t>
        </is>
      </c>
      <c r="E14" s="12" t="inlineStr">
        <is>
          <t>20-F FY2025</t>
        </is>
      </c>
    </row>
    <row r="15">
      <c r="B15" s="11" t="inlineStr">
        <is>
          <t>GRAB</t>
        </is>
      </c>
      <c r="C15" s="12" t="inlineStr">
        <is>
          <t>Grab Holdings</t>
        </is>
      </c>
      <c r="D15" s="12" t="inlineStr">
        <is>
          <t>SEC EDGAR (form 20-F)</t>
        </is>
      </c>
      <c r="E15" s="12" t="inlineStr">
        <is>
          <t>20-F FY2025  [B3 already verified]</t>
        </is>
      </c>
    </row>
    <row r="17">
      <c r="B17" s="3" t="inlineStr">
        <is>
          <t>TIP</t>
        </is>
      </c>
      <c r="C17" s="8" t="inlineStr">
        <is>
          <t>The investor presentation is ~80% of what you need in 40 slides. Start there, then use the annual report to confirm exact figures.</t>
        </is>
      </c>
    </row>
  </sheetData>
  <mergeCells count="1">
    <mergeCell ref="C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8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16" customWidth="1" min="4" max="4"/>
    <col width="16" customWidth="1" min="5" max="5"/>
    <col width="14" customWidth="1" min="6" max="6"/>
    <col width="30" customWidth="1" min="7" max="7"/>
  </cols>
  <sheetData>
    <row r="2">
      <c r="B2" s="1" t="inlineStr">
        <is>
          <t>CONVICTION SCORECARD</t>
        </is>
      </c>
    </row>
    <row r="3">
      <c r="B3" s="2" t="inlineStr">
        <is>
          <t>Updates automatically as each company sheet is filled in. Blank = not yet researched.</t>
        </is>
      </c>
    </row>
    <row r="5">
      <c r="B5" s="10" t="inlineStr">
        <is>
          <t>Ticker</t>
        </is>
      </c>
      <c r="C5" s="10" t="inlineStr">
        <is>
          <t>Company</t>
        </is>
      </c>
      <c r="D5" s="10" t="inlineStr">
        <is>
          <t>Assigned (current)</t>
        </is>
      </c>
      <c r="E5" s="10" t="inlineStr">
        <is>
          <t>Derived (new)</t>
        </is>
      </c>
      <c r="F5" s="10" t="inlineStr">
        <is>
          <t>Difference</t>
        </is>
      </c>
      <c r="G5" s="10" t="inlineStr">
        <is>
          <t>Status</t>
        </is>
      </c>
    </row>
    <row r="6">
      <c r="B6" s="13" t="inlineStr">
        <is>
          <t>ICT</t>
        </is>
      </c>
      <c r="C6" s="14" t="inlineStr">
        <is>
          <t>Int'l Container Terminal Services</t>
        </is>
      </c>
      <c r="D6" s="14" t="n">
        <v>88</v>
      </c>
      <c r="E6" s="15">
        <f>IF('ICT'!D42="","",'ICT'!D42)</f>
        <v/>
      </c>
      <c r="F6" s="16">
        <f>IF(E6="","",E6-D6)</f>
        <v/>
      </c>
      <c r="G6" s="14">
        <f>IF(E6="","NOT YET RESEARCHED","done")</f>
        <v/>
      </c>
    </row>
    <row r="7">
      <c r="B7" s="13" t="inlineStr">
        <is>
          <t>ACEN</t>
        </is>
      </c>
      <c r="C7" s="14" t="inlineStr">
        <is>
          <t>ACEN Corporation</t>
        </is>
      </c>
      <c r="D7" s="14" t="n">
        <v>80</v>
      </c>
      <c r="E7" s="15">
        <f>IF('ACEN'!D42="","",'ACEN'!D42)</f>
        <v/>
      </c>
      <c r="F7" s="16">
        <f>IF(E7="","",E7-D7)</f>
        <v/>
      </c>
      <c r="G7" s="14">
        <f>IF(E7="","NOT YET RESEARCHED","done")</f>
        <v/>
      </c>
    </row>
    <row r="8">
      <c r="B8" s="13" t="inlineStr">
        <is>
          <t>VRT</t>
        </is>
      </c>
      <c r="C8" s="14" t="inlineStr">
        <is>
          <t>Vertiv Holdings</t>
        </is>
      </c>
      <c r="D8" s="14" t="n">
        <v>76</v>
      </c>
      <c r="E8" s="15">
        <f>IF('VRT'!D42="","",'VRT'!D42)</f>
        <v/>
      </c>
      <c r="F8" s="16">
        <f>IF(E8="","",E8-D8)</f>
        <v/>
      </c>
      <c r="G8" s="14">
        <f>IF(E8="","NOT YET RESEARCHED","done")</f>
        <v/>
      </c>
    </row>
    <row r="9">
      <c r="B9" s="13" t="inlineStr">
        <is>
          <t>CNPF</t>
        </is>
      </c>
      <c r="C9" s="14" t="inlineStr">
        <is>
          <t>Century Pacific Food</t>
        </is>
      </c>
      <c r="D9" s="14" t="n">
        <v>78</v>
      </c>
      <c r="E9" s="15">
        <f>IF('CNPF'!D42="","",'CNPF'!D42)</f>
        <v/>
      </c>
      <c r="F9" s="16">
        <f>IF(E9="","",E9-D9)</f>
        <v/>
      </c>
      <c r="G9" s="14">
        <f>IF(E9="","NOT YET RESEARCHED","done")</f>
        <v/>
      </c>
    </row>
    <row r="10">
      <c r="B10" s="13" t="inlineStr">
        <is>
          <t>D05</t>
        </is>
      </c>
      <c r="C10" s="14" t="inlineStr">
        <is>
          <t>DBS Group Holdings</t>
        </is>
      </c>
      <c r="D10" s="14" t="n">
        <v>85</v>
      </c>
      <c r="E10" s="15">
        <f>IF('D05'!D42="","",'D05'!D42)</f>
        <v/>
      </c>
      <c r="F10" s="16">
        <f>IF(E10="","",E10-D10)</f>
        <v/>
      </c>
      <c r="G10" s="14">
        <f>IF(E10="","NOT YET RESEARCHED","done")</f>
        <v/>
      </c>
    </row>
    <row r="11">
      <c r="B11" s="13" t="inlineStr">
        <is>
          <t>Q0F</t>
        </is>
      </c>
      <c r="C11" s="14" t="inlineStr">
        <is>
          <t>IHH Healthcare</t>
        </is>
      </c>
      <c r="D11" s="14" t="n">
        <v>75</v>
      </c>
      <c r="E11" s="15">
        <f>IF('Q0F'!D42="","",'Q0F'!D42)</f>
        <v/>
      </c>
      <c r="F11" s="16">
        <f>IF(E11="","",E11-D11)</f>
        <v/>
      </c>
      <c r="G11" s="14">
        <f>IF(E11="","NOT YET RESEARCHED","done")</f>
        <v/>
      </c>
    </row>
    <row r="12">
      <c r="B12" s="13" t="inlineStr">
        <is>
          <t>SU</t>
        </is>
      </c>
      <c r="C12" s="14" t="inlineStr">
        <is>
          <t>Schneider Electric</t>
        </is>
      </c>
      <c r="D12" s="14" t="n">
        <v>82</v>
      </c>
      <c r="E12" s="15">
        <f>IF('SU'!D42="","",'SU'!D42)</f>
        <v/>
      </c>
      <c r="F12" s="16">
        <f>IF(E12="","",E12-D12)</f>
        <v/>
      </c>
      <c r="G12" s="14">
        <f>IF(E12="","NOT YET RESEARCHED","done")</f>
        <v/>
      </c>
    </row>
    <row r="13">
      <c r="B13" s="13" t="inlineStr">
        <is>
          <t>TSM</t>
        </is>
      </c>
      <c r="C13" s="14" t="inlineStr">
        <is>
          <t>Taiwan Semiconductor</t>
        </is>
      </c>
      <c r="D13" s="14" t="n">
        <v>86</v>
      </c>
      <c r="E13" s="15">
        <f>IF('TSM'!D42="","",'TSM'!D42)</f>
        <v/>
      </c>
      <c r="F13" s="16">
        <f>IF(E13="","",E13-D13)</f>
        <v/>
      </c>
      <c r="G13" s="14">
        <f>IF(E13="","NOT YET RESEARCHED","done")</f>
        <v/>
      </c>
    </row>
    <row r="14">
      <c r="B14" s="13" t="inlineStr">
        <is>
          <t>SE</t>
        </is>
      </c>
      <c r="C14" s="14" t="inlineStr">
        <is>
          <t>Sea Limited</t>
        </is>
      </c>
      <c r="D14" s="14" t="n">
        <v>72</v>
      </c>
      <c r="E14" s="15">
        <f>IF('SE'!D42="","",'SE'!D42)</f>
        <v/>
      </c>
      <c r="F14" s="16">
        <f>IF(E14="","",E14-D14)</f>
        <v/>
      </c>
      <c r="G14" s="14">
        <f>IF(E14="","NOT YET RESEARCHED","done")</f>
        <v/>
      </c>
    </row>
    <row r="15">
      <c r="B15" s="13" t="inlineStr">
        <is>
          <t>GRAB</t>
        </is>
      </c>
      <c r="C15" s="14" t="inlineStr">
        <is>
          <t>Grab Holdings</t>
        </is>
      </c>
      <c r="D15" s="14" t="n">
        <v>70</v>
      </c>
      <c r="E15" s="15">
        <f>IF('GRAB'!D42="","",'GRAB'!D42)</f>
        <v/>
      </c>
      <c r="F15" s="16">
        <f>IF(E15="","",E15-D15)</f>
        <v/>
      </c>
      <c r="G15" s="14">
        <f>IF(E15="","NOT YET RESEARCHED","done")</f>
        <v/>
      </c>
    </row>
    <row r="17">
      <c r="C17" s="3" t="inlineStr">
        <is>
          <t>Companies researched</t>
        </is>
      </c>
      <c r="E17" s="17">
        <f>COUNT(E6:E15)</f>
        <v/>
      </c>
    </row>
    <row r="18">
      <c r="C18" s="8" t="inlineStr">
        <is>
          <t>Target before Phase 2 (minimum)</t>
        </is>
      </c>
      <c r="E18" s="1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5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5" customWidth="1" min="4" max="4"/>
    <col width="40" customWidth="1" min="5" max="5"/>
    <col width="3" customWidth="1" min="6" max="6"/>
  </cols>
  <sheetData>
    <row r="2">
      <c r="B2" s="1" t="inlineStr">
        <is>
          <t>Int'l Container Terminal Services  (ICT)</t>
        </is>
      </c>
    </row>
    <row r="3">
      <c r="B3" s="2" t="inlineStr">
        <is>
          <t>Priority 1  ·  Fill BLUE cells only  ·  every figure needs a source</t>
        </is>
      </c>
    </row>
    <row r="5">
      <c r="B5" s="5" t="inlineStr">
        <is>
          <t>RAW FIGURES — pull these from the filing</t>
        </is>
      </c>
      <c r="C5" s="6" t="inlineStr"/>
      <c r="D5" s="6" t="inlineStr"/>
      <c r="E5" s="6" t="inlineStr"/>
    </row>
    <row r="6">
      <c r="B6" s="8" t="inlineStr">
        <is>
          <t>Revenue, latest FY</t>
        </is>
      </c>
      <c r="C6" s="19" t="inlineStr">
        <is>
          <t>currency mn</t>
        </is>
      </c>
      <c r="D6" s="18" t="n"/>
      <c r="E6" s="20" t="inlineStr">
        <is>
          <t>Income statement</t>
        </is>
      </c>
    </row>
    <row r="7">
      <c r="B7" s="8" t="inlineStr">
        <is>
          <t>Revenue, 3 years ago</t>
        </is>
      </c>
      <c r="C7" s="19" t="inlineStr">
        <is>
          <t>currency mn</t>
        </is>
      </c>
      <c r="D7" s="18" t="n"/>
      <c r="E7" s="20" t="inlineStr">
        <is>
          <t>Income statement, comparatives</t>
        </is>
      </c>
    </row>
    <row r="8">
      <c r="B8" s="8" t="inlineStr">
        <is>
          <t>EBIT (operating profit)</t>
        </is>
      </c>
      <c r="C8" s="19" t="inlineStr">
        <is>
          <t>currency mn</t>
        </is>
      </c>
      <c r="D8" s="18" t="n"/>
      <c r="E8" s="20" t="inlineStr">
        <is>
          <t>Income statement</t>
        </is>
      </c>
    </row>
    <row r="9">
      <c r="B9" s="8" t="inlineStr">
        <is>
          <t>EBITDA</t>
        </is>
      </c>
      <c r="C9" s="19" t="inlineStr">
        <is>
          <t>currency mn</t>
        </is>
      </c>
      <c r="D9" s="18" t="n"/>
      <c r="E9" s="20" t="inlineStr">
        <is>
          <t>Income statement or MD&amp;A</t>
        </is>
      </c>
    </row>
    <row r="10">
      <c r="B10" s="8" t="inlineStr">
        <is>
          <t>Effective tax rate</t>
        </is>
      </c>
      <c r="C10" s="19" t="inlineStr">
        <is>
          <t>decimal e.g. 0.25</t>
        </is>
      </c>
      <c r="D10" s="18" t="n"/>
      <c r="E10" s="20" t="inlineStr">
        <is>
          <t>Tax note</t>
        </is>
      </c>
    </row>
    <row r="11">
      <c r="B11" s="8" t="inlineStr">
        <is>
          <t>Net income</t>
        </is>
      </c>
      <c r="C11" s="19" t="inlineStr">
        <is>
          <t>currency mn</t>
        </is>
      </c>
      <c r="D11" s="18" t="n"/>
      <c r="E11" s="20" t="inlineStr">
        <is>
          <t>Income statement</t>
        </is>
      </c>
    </row>
    <row r="12">
      <c r="B12" s="8" t="inlineStr">
        <is>
          <t>Operating cash flow</t>
        </is>
      </c>
      <c r="C12" s="19" t="inlineStr">
        <is>
          <t>currency mn</t>
        </is>
      </c>
      <c r="D12" s="18" t="n"/>
      <c r="E12" s="20" t="inlineStr">
        <is>
          <t>Cash flow statement</t>
        </is>
      </c>
    </row>
    <row r="13">
      <c r="B13" s="8" t="inlineStr">
        <is>
          <t>Capital expenditure</t>
        </is>
      </c>
      <c r="C13" s="19" t="inlineStr">
        <is>
          <t>currency mn</t>
        </is>
      </c>
      <c r="D13" s="18" t="n"/>
      <c r="E13" s="20" t="inlineStr">
        <is>
          <t>Cash flow statement — investing</t>
        </is>
      </c>
    </row>
    <row r="14">
      <c r="B14" s="8" t="inlineStr">
        <is>
          <t>Total debt</t>
        </is>
      </c>
      <c r="C14" s="19" t="inlineStr">
        <is>
          <t>currency mn</t>
        </is>
      </c>
      <c r="D14" s="18" t="n"/>
      <c r="E14" s="20" t="inlineStr">
        <is>
          <t>Balance sheet</t>
        </is>
      </c>
    </row>
    <row r="15">
      <c r="B15" s="8" t="inlineStr">
        <is>
          <t>Cash &amp; equivalents</t>
        </is>
      </c>
      <c r="C15" s="19" t="inlineStr">
        <is>
          <t>currency mn</t>
        </is>
      </c>
      <c r="D15" s="18" t="n"/>
      <c r="E15" s="20" t="inlineStr">
        <is>
          <t>Balance sheet</t>
        </is>
      </c>
    </row>
    <row r="16">
      <c r="B16" s="8" t="inlineStr">
        <is>
          <t>Total equity</t>
        </is>
      </c>
      <c r="C16" s="19" t="inlineStr">
        <is>
          <t>currency mn</t>
        </is>
      </c>
      <c r="D16" s="18" t="n"/>
      <c r="E16" s="20" t="inlineStr">
        <is>
          <t>Balance sheet</t>
        </is>
      </c>
    </row>
    <row r="17">
      <c r="B17" s="8" t="inlineStr">
        <is>
          <t>Interest expense</t>
        </is>
      </c>
      <c r="C17" s="19" t="inlineStr">
        <is>
          <t>currency mn</t>
        </is>
      </c>
      <c r="D17" s="18" t="n"/>
      <c r="E17" s="20" t="inlineStr">
        <is>
          <t>Finance costs note</t>
        </is>
      </c>
    </row>
    <row r="18">
      <c r="B18" s="8" t="inlineStr">
        <is>
          <t>Market capitalisation</t>
        </is>
      </c>
      <c r="C18" s="19" t="inlineStr">
        <is>
          <t>currency mn</t>
        </is>
      </c>
      <c r="D18" s="18" t="n"/>
      <c r="E18" s="20" t="inlineStr">
        <is>
          <t>Share price x shares out</t>
        </is>
      </c>
    </row>
    <row r="19">
      <c r="B19" s="8" t="inlineStr">
        <is>
          <t>Free float</t>
        </is>
      </c>
      <c r="C19" s="19" t="inlineStr">
        <is>
          <t>%  e.g. 0.35</t>
        </is>
      </c>
      <c r="D19" s="18" t="n"/>
      <c r="E19" s="20" t="inlineStr">
        <is>
          <t>Ownership / shareholding note</t>
        </is>
      </c>
    </row>
    <row r="21">
      <c r="B21" s="5" t="inlineStr">
        <is>
          <t>COMPUTED RATIOS — do not edit, these calculate</t>
        </is>
      </c>
      <c r="C21" s="6" t="inlineStr"/>
      <c r="D21" s="6" t="inlineStr"/>
      <c r="E21" s="6" t="inlineStr"/>
    </row>
    <row r="22">
      <c r="B22" s="8" t="inlineStr">
        <is>
          <t>Revenue 3-yr CAGR</t>
        </is>
      </c>
      <c r="D22" s="21">
        <f>IFERROR((D6/D7)^(1/3)-1,"")</f>
        <v/>
      </c>
    </row>
    <row r="23">
      <c r="B23" s="8" t="inlineStr">
        <is>
          <t>ROIC  (NOPAT / invested capital)</t>
        </is>
      </c>
      <c r="D23" s="21">
        <f>IFERROR(D8*(1-D10)/(D14+D16-D15),"")</f>
        <v/>
      </c>
    </row>
    <row r="24">
      <c r="B24" s="8" t="inlineStr">
        <is>
          <t>FCF conversion  (OCF-capex)/NI</t>
        </is>
      </c>
      <c r="D24" s="21">
        <f>IFERROR((D12-D13)/D11,"")</f>
        <v/>
      </c>
    </row>
    <row r="25">
      <c r="B25" s="8" t="inlineStr">
        <is>
          <t>Net debt / EBITDA</t>
        </is>
      </c>
      <c r="D25" s="22">
        <f>IFERROR((D14-D15)/D9,"")</f>
        <v/>
      </c>
    </row>
    <row r="26">
      <c r="B26" s="8" t="inlineStr">
        <is>
          <t>EBIT interest cover</t>
        </is>
      </c>
      <c r="D26" s="22">
        <f>IFERROR(D8/D17,"")</f>
        <v/>
      </c>
    </row>
    <row r="27">
      <c r="B27" s="8" t="inlineStr">
        <is>
          <t>EV / EBITDA</t>
        </is>
      </c>
      <c r="D27" s="22">
        <f>IFERROR((D18+D14-D15)/D9,"")</f>
        <v/>
      </c>
    </row>
    <row r="29">
      <c r="B29" s="5" t="inlineStr">
        <is>
          <t>BUILDOUT TEST — the four gates, now actually tested</t>
        </is>
      </c>
      <c r="C29" s="6" t="inlineStr"/>
      <c r="D29" s="6" t="inlineStr"/>
      <c r="E29" s="6" t="inlineStr"/>
    </row>
    <row r="30" ht="28" customHeight="1">
      <c r="B30" s="3" t="inlineStr">
        <is>
          <t>B1  Buildout</t>
        </is>
      </c>
      <c r="C30" s="23" t="inlineStr">
        <is>
          <t>&gt;=20% of revenue or 3-yr capex tied to a PUBLISHED capacity target</t>
        </is>
      </c>
      <c r="D30" s="18" t="n"/>
      <c r="E30" s="20" t="inlineStr">
        <is>
          <t>PASS/FAIL + the actual %, and name the programme (e.g. DOE NREP, disclosed fab capex)</t>
        </is>
      </c>
    </row>
    <row r="31" ht="28" customHeight="1">
      <c r="B31" s="3" t="inlineStr">
        <is>
          <t>B2  Liquidity</t>
        </is>
      </c>
      <c r="C31" s="23" t="inlineStr">
        <is>
          <t>90-day ADTV &gt;= PHP30M (PH) / USD5M (offshore); free float &gt;=20%</t>
        </is>
      </c>
      <c r="D31" s="18" t="n"/>
      <c r="E31" s="20" t="inlineStr">
        <is>
          <t>PASS/FAIL + the ADTV figure and its source</t>
        </is>
      </c>
    </row>
    <row r="32" ht="28" customHeight="1">
      <c r="B32" s="3" t="inlineStr">
        <is>
          <t>B3  Solvency</t>
        </is>
      </c>
      <c r="C32" s="23" t="inlineStr">
        <is>
          <t>Net debt/EBITDA &lt;=4.0x OR net cash; if net debt positive, interest cover &gt;=2.5x</t>
        </is>
      </c>
      <c r="D32" s="18" t="n"/>
      <c r="E32" s="20" t="inlineStr">
        <is>
          <t>PASS/FAIL — read it off the computed ratios above</t>
        </is>
      </c>
    </row>
    <row r="33" ht="28" customHeight="1">
      <c r="B33" s="3" t="inlineStr">
        <is>
          <t>B4  Conduct</t>
        </is>
      </c>
      <c r="C33" s="23" t="inlineStr">
        <is>
          <t>No thermal coal &gt;10% of revenue; no UNGC breach; CG disclosure</t>
        </is>
      </c>
      <c r="D33" s="18" t="n"/>
      <c r="E33" s="20" t="inlineStr">
        <is>
          <t>PASS/FAIL + note any controversy found</t>
        </is>
      </c>
    </row>
    <row r="35">
      <c r="B35" s="5" t="inlineStr">
        <is>
          <t>FIRST SCORE — replace the assigned score with a derived one</t>
        </is>
      </c>
      <c r="C35" s="6" t="inlineStr"/>
      <c r="D35" s="6" t="inlineStr"/>
      <c r="E35" s="6" t="inlineStr"/>
    </row>
    <row r="36">
      <c r="B36" s="24" t="inlineStr">
        <is>
          <t>Factor</t>
        </is>
      </c>
      <c r="C36" s="24" t="inlineStr">
        <is>
          <t>Weight</t>
        </is>
      </c>
      <c r="D36" s="24" t="inlineStr">
        <is>
          <t>Score 0-100</t>
        </is>
      </c>
      <c r="E36" s="24" t="inlineStr">
        <is>
          <t>Evidence you are scoring on</t>
        </is>
      </c>
    </row>
    <row r="37" ht="26" customHeight="1">
      <c r="B37" s="8" t="inlineStr">
        <is>
          <t>F — Future Relevance</t>
        </is>
      </c>
      <c r="C37" s="25" t="n">
        <v>0.25</v>
      </c>
      <c r="D37" s="18" t="n"/>
      <c r="E37" s="20" t="inlineStr">
        <is>
          <t>Scale and duration of the buildout; order backlog or contracted capacity</t>
        </is>
      </c>
    </row>
    <row r="38" ht="26" customHeight="1">
      <c r="B38" s="8" t="inlineStr">
        <is>
          <t>I — Impact on Youth</t>
        </is>
      </c>
      <c r="C38" s="25" t="n">
        <v>0.15</v>
      </c>
      <c r="D38" s="18" t="n"/>
      <c r="E38" s="20" t="inlineStr">
        <is>
          <t>Directness of link to a named "first"; segment revenue if disclosed</t>
        </is>
      </c>
    </row>
    <row r="39" ht="26" customHeight="1">
      <c r="B39" s="8" t="inlineStr">
        <is>
          <t>R — Resilient Finances</t>
        </is>
      </c>
      <c r="C39" s="25" t="n">
        <v>0.25</v>
      </c>
      <c r="D39" s="18" t="n"/>
      <c r="E39" s="20" t="inlineStr">
        <is>
          <t>Use the ROIC, FCF conversion and leverage computed above</t>
        </is>
      </c>
    </row>
    <row r="40" ht="26" customHeight="1">
      <c r="B40" s="8" t="inlineStr">
        <is>
          <t>S — Sensible Valuation</t>
        </is>
      </c>
      <c r="C40" s="25" t="n">
        <v>0.2</v>
      </c>
      <c r="D40" s="18" t="n"/>
      <c r="E40" s="20" t="inlineStr">
        <is>
          <t>EV/EBITDA vs the company's own 5-year range</t>
        </is>
      </c>
    </row>
    <row r="41" ht="26" customHeight="1">
      <c r="B41" s="8" t="inlineStr">
        <is>
          <t>T — Trust &amp; Governance</t>
        </is>
      </c>
      <c r="C41" s="25" t="n">
        <v>0.15</v>
      </c>
      <c r="D41" s="18" t="n"/>
      <c r="E41" s="20" t="inlineStr">
        <is>
          <t>Free float, related-party transactions, board independence</t>
        </is>
      </c>
    </row>
    <row r="42">
      <c r="B42" s="3" t="inlineStr">
        <is>
          <t>WEIGHTED CONVICTION SCORE</t>
        </is>
      </c>
      <c r="D42" s="26">
        <f>IFERROR(SUMPRODUCT(C37:C41,D37:D41),"")</f>
        <v/>
      </c>
    </row>
    <row r="44">
      <c r="B44" s="8" t="inlineStr">
        <is>
          <t>Score currently assumed in the engine</t>
        </is>
      </c>
      <c r="D44" s="14" t="n">
        <v>88</v>
      </c>
    </row>
    <row r="45">
      <c r="B45" s="8" t="inlineStr">
        <is>
          <t>Difference</t>
        </is>
      </c>
      <c r="D45" s="16">
        <f>IFERROR(D42-D44,"")</f>
        <v/>
      </c>
    </row>
    <row r="47">
      <c r="B47" s="5" t="inlineStr">
        <is>
          <t>SOURCES USED</t>
        </is>
      </c>
      <c r="C47" s="6" t="inlineStr"/>
      <c r="D47" s="6" t="inlineStr"/>
      <c r="E47" s="6" t="inlineStr"/>
    </row>
    <row r="48">
      <c r="B48" s="8" t="inlineStr">
        <is>
          <t>Source 1</t>
        </is>
      </c>
      <c r="C48" s="18" t="n"/>
      <c r="D48" s="27" t="n"/>
      <c r="E48" s="28" t="n"/>
    </row>
    <row r="49">
      <c r="B49" s="8" t="inlineStr">
        <is>
          <t>Source 2</t>
        </is>
      </c>
      <c r="C49" s="18" t="n"/>
      <c r="D49" s="27" t="n"/>
      <c r="E49" s="28" t="n"/>
    </row>
    <row r="50">
      <c r="B50" s="8" t="inlineStr">
        <is>
          <t>Source 3</t>
        </is>
      </c>
      <c r="C50" s="18" t="n"/>
      <c r="D50" s="27" t="n"/>
      <c r="E50" s="28" t="n"/>
    </row>
    <row r="51">
      <c r="B51" s="8" t="inlineStr">
        <is>
          <t>Source 4</t>
        </is>
      </c>
      <c r="C51" s="18" t="n"/>
      <c r="D51" s="27" t="n"/>
      <c r="E51" s="28" t="n"/>
    </row>
  </sheetData>
  <mergeCells count="4">
    <mergeCell ref="C49:E49"/>
    <mergeCell ref="C48:E48"/>
    <mergeCell ref="C50:E50"/>
    <mergeCell ref="C51:E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5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5" customWidth="1" min="4" max="4"/>
    <col width="40" customWidth="1" min="5" max="5"/>
    <col width="3" customWidth="1" min="6" max="6"/>
  </cols>
  <sheetData>
    <row r="2">
      <c r="B2" s="1" t="inlineStr">
        <is>
          <t>ACEN Corporation  (ACEN)</t>
        </is>
      </c>
    </row>
    <row r="3">
      <c r="B3" s="2" t="inlineStr">
        <is>
          <t>Priority 2  ·  Fill BLUE cells only  ·  every figure needs a source</t>
        </is>
      </c>
    </row>
    <row r="5">
      <c r="B5" s="5" t="inlineStr">
        <is>
          <t>RAW FIGURES — pull these from the filing</t>
        </is>
      </c>
      <c r="C5" s="6" t="inlineStr"/>
      <c r="D5" s="6" t="inlineStr"/>
      <c r="E5" s="6" t="inlineStr"/>
    </row>
    <row r="6">
      <c r="B6" s="8" t="inlineStr">
        <is>
          <t>Revenue, latest FY</t>
        </is>
      </c>
      <c r="C6" s="19" t="inlineStr">
        <is>
          <t>currency mn</t>
        </is>
      </c>
      <c r="D6" s="18" t="n"/>
      <c r="E6" s="20" t="inlineStr">
        <is>
          <t>Income statement</t>
        </is>
      </c>
    </row>
    <row r="7">
      <c r="B7" s="8" t="inlineStr">
        <is>
          <t>Revenue, 3 years ago</t>
        </is>
      </c>
      <c r="C7" s="19" t="inlineStr">
        <is>
          <t>currency mn</t>
        </is>
      </c>
      <c r="D7" s="18" t="n"/>
      <c r="E7" s="20" t="inlineStr">
        <is>
          <t>Income statement, comparatives</t>
        </is>
      </c>
    </row>
    <row r="8">
      <c r="B8" s="8" t="inlineStr">
        <is>
          <t>EBIT (operating profit)</t>
        </is>
      </c>
      <c r="C8" s="19" t="inlineStr">
        <is>
          <t>currency mn</t>
        </is>
      </c>
      <c r="D8" s="18" t="n"/>
      <c r="E8" s="20" t="inlineStr">
        <is>
          <t>Income statement</t>
        </is>
      </c>
    </row>
    <row r="9">
      <c r="B9" s="8" t="inlineStr">
        <is>
          <t>EBITDA</t>
        </is>
      </c>
      <c r="C9" s="19" t="inlineStr">
        <is>
          <t>currency mn</t>
        </is>
      </c>
      <c r="D9" s="18" t="n"/>
      <c r="E9" s="20" t="inlineStr">
        <is>
          <t>Income statement or MD&amp;A</t>
        </is>
      </c>
    </row>
    <row r="10">
      <c r="B10" s="8" t="inlineStr">
        <is>
          <t>Effective tax rate</t>
        </is>
      </c>
      <c r="C10" s="19" t="inlineStr">
        <is>
          <t>decimal e.g. 0.25</t>
        </is>
      </c>
      <c r="D10" s="18" t="n"/>
      <c r="E10" s="20" t="inlineStr">
        <is>
          <t>Tax note</t>
        </is>
      </c>
    </row>
    <row r="11">
      <c r="B11" s="8" t="inlineStr">
        <is>
          <t>Net income</t>
        </is>
      </c>
      <c r="C11" s="19" t="inlineStr">
        <is>
          <t>currency mn</t>
        </is>
      </c>
      <c r="D11" s="18" t="n"/>
      <c r="E11" s="20" t="inlineStr">
        <is>
          <t>Income statement</t>
        </is>
      </c>
    </row>
    <row r="12">
      <c r="B12" s="8" t="inlineStr">
        <is>
          <t>Operating cash flow</t>
        </is>
      </c>
      <c r="C12" s="19" t="inlineStr">
        <is>
          <t>currency mn</t>
        </is>
      </c>
      <c r="D12" s="18" t="n"/>
      <c r="E12" s="20" t="inlineStr">
        <is>
          <t>Cash flow statement</t>
        </is>
      </c>
    </row>
    <row r="13">
      <c r="B13" s="8" t="inlineStr">
        <is>
          <t>Capital expenditure</t>
        </is>
      </c>
      <c r="C13" s="19" t="inlineStr">
        <is>
          <t>currency mn</t>
        </is>
      </c>
      <c r="D13" s="18" t="n"/>
      <c r="E13" s="20" t="inlineStr">
        <is>
          <t>Cash flow statement — investing</t>
        </is>
      </c>
    </row>
    <row r="14">
      <c r="B14" s="8" t="inlineStr">
        <is>
          <t>Total debt</t>
        </is>
      </c>
      <c r="C14" s="19" t="inlineStr">
        <is>
          <t>currency mn</t>
        </is>
      </c>
      <c r="D14" s="18" t="n"/>
      <c r="E14" s="20" t="inlineStr">
        <is>
          <t>Balance sheet</t>
        </is>
      </c>
    </row>
    <row r="15">
      <c r="B15" s="8" t="inlineStr">
        <is>
          <t>Cash &amp; equivalents</t>
        </is>
      </c>
      <c r="C15" s="19" t="inlineStr">
        <is>
          <t>currency mn</t>
        </is>
      </c>
      <c r="D15" s="18" t="n"/>
      <c r="E15" s="20" t="inlineStr">
        <is>
          <t>Balance sheet</t>
        </is>
      </c>
    </row>
    <row r="16">
      <c r="B16" s="8" t="inlineStr">
        <is>
          <t>Total equity</t>
        </is>
      </c>
      <c r="C16" s="19" t="inlineStr">
        <is>
          <t>currency mn</t>
        </is>
      </c>
      <c r="D16" s="18" t="n"/>
      <c r="E16" s="20" t="inlineStr">
        <is>
          <t>Balance sheet</t>
        </is>
      </c>
    </row>
    <row r="17">
      <c r="B17" s="8" t="inlineStr">
        <is>
          <t>Interest expense</t>
        </is>
      </c>
      <c r="C17" s="19" t="inlineStr">
        <is>
          <t>currency mn</t>
        </is>
      </c>
      <c r="D17" s="18" t="n"/>
      <c r="E17" s="20" t="inlineStr">
        <is>
          <t>Finance costs note</t>
        </is>
      </c>
    </row>
    <row r="18">
      <c r="B18" s="8" t="inlineStr">
        <is>
          <t>Market capitalisation</t>
        </is>
      </c>
      <c r="C18" s="19" t="inlineStr">
        <is>
          <t>currency mn</t>
        </is>
      </c>
      <c r="D18" s="18" t="n"/>
      <c r="E18" s="20" t="inlineStr">
        <is>
          <t>Share price x shares out</t>
        </is>
      </c>
    </row>
    <row r="19">
      <c r="B19" s="8" t="inlineStr">
        <is>
          <t>Free float</t>
        </is>
      </c>
      <c r="C19" s="19" t="inlineStr">
        <is>
          <t>%  e.g. 0.35</t>
        </is>
      </c>
      <c r="D19" s="18" t="n"/>
      <c r="E19" s="20" t="inlineStr">
        <is>
          <t>Ownership / shareholding note</t>
        </is>
      </c>
    </row>
    <row r="21">
      <c r="B21" s="5" t="inlineStr">
        <is>
          <t>COMPUTED RATIOS — do not edit, these calculate</t>
        </is>
      </c>
      <c r="C21" s="6" t="inlineStr"/>
      <c r="D21" s="6" t="inlineStr"/>
      <c r="E21" s="6" t="inlineStr"/>
    </row>
    <row r="22">
      <c r="B22" s="8" t="inlineStr">
        <is>
          <t>Revenue 3-yr CAGR</t>
        </is>
      </c>
      <c r="D22" s="21">
        <f>IFERROR((D6/D7)^(1/3)-1,"")</f>
        <v/>
      </c>
    </row>
    <row r="23">
      <c r="B23" s="8" t="inlineStr">
        <is>
          <t>ROIC  (NOPAT / invested capital)</t>
        </is>
      </c>
      <c r="D23" s="21">
        <f>IFERROR(D8*(1-D10)/(D14+D16-D15),"")</f>
        <v/>
      </c>
    </row>
    <row r="24">
      <c r="B24" s="8" t="inlineStr">
        <is>
          <t>FCF conversion  (OCF-capex)/NI</t>
        </is>
      </c>
      <c r="D24" s="21">
        <f>IFERROR((D12-D13)/D11,"")</f>
        <v/>
      </c>
    </row>
    <row r="25">
      <c r="B25" s="8" t="inlineStr">
        <is>
          <t>Net debt / EBITDA</t>
        </is>
      </c>
      <c r="D25" s="22">
        <f>IFERROR((D14-D15)/D9,"")</f>
        <v/>
      </c>
    </row>
    <row r="26">
      <c r="B26" s="8" t="inlineStr">
        <is>
          <t>EBIT interest cover</t>
        </is>
      </c>
      <c r="D26" s="22">
        <f>IFERROR(D8/D17,"")</f>
        <v/>
      </c>
    </row>
    <row r="27">
      <c r="B27" s="8" t="inlineStr">
        <is>
          <t>EV / EBITDA</t>
        </is>
      </c>
      <c r="D27" s="22">
        <f>IFERROR((D18+D14-D15)/D9,"")</f>
        <v/>
      </c>
    </row>
    <row r="29">
      <c r="B29" s="5" t="inlineStr">
        <is>
          <t>BUILDOUT TEST — the four gates, now actually tested</t>
        </is>
      </c>
      <c r="C29" s="6" t="inlineStr"/>
      <c r="D29" s="6" t="inlineStr"/>
      <c r="E29" s="6" t="inlineStr"/>
    </row>
    <row r="30" ht="28" customHeight="1">
      <c r="B30" s="3" t="inlineStr">
        <is>
          <t>B1  Buildout</t>
        </is>
      </c>
      <c r="C30" s="23" t="inlineStr">
        <is>
          <t>&gt;=20% of revenue or 3-yr capex tied to a PUBLISHED capacity target</t>
        </is>
      </c>
      <c r="D30" s="18" t="n"/>
      <c r="E30" s="20" t="inlineStr">
        <is>
          <t>PASS/FAIL + the actual %, and name the programme (e.g. DOE NREP, disclosed fab capex)</t>
        </is>
      </c>
    </row>
    <row r="31" ht="28" customHeight="1">
      <c r="B31" s="3" t="inlineStr">
        <is>
          <t>B2  Liquidity</t>
        </is>
      </c>
      <c r="C31" s="23" t="inlineStr">
        <is>
          <t>90-day ADTV &gt;= PHP30M (PH) / USD5M (offshore); free float &gt;=20%</t>
        </is>
      </c>
      <c r="D31" s="18" t="n"/>
      <c r="E31" s="20" t="inlineStr">
        <is>
          <t>PASS/FAIL + the ADTV figure and its source</t>
        </is>
      </c>
    </row>
    <row r="32" ht="28" customHeight="1">
      <c r="B32" s="3" t="inlineStr">
        <is>
          <t>B3  Solvency</t>
        </is>
      </c>
      <c r="C32" s="23" t="inlineStr">
        <is>
          <t>Net debt/EBITDA &lt;=4.0x OR net cash; if net debt positive, interest cover &gt;=2.5x</t>
        </is>
      </c>
      <c r="D32" s="18" t="n"/>
      <c r="E32" s="20" t="inlineStr">
        <is>
          <t>PASS/FAIL — read it off the computed ratios above</t>
        </is>
      </c>
    </row>
    <row r="33" ht="28" customHeight="1">
      <c r="B33" s="3" t="inlineStr">
        <is>
          <t>B4  Conduct</t>
        </is>
      </c>
      <c r="C33" s="23" t="inlineStr">
        <is>
          <t>No thermal coal &gt;10% of revenue; no UNGC breach; CG disclosure</t>
        </is>
      </c>
      <c r="D33" s="18" t="n"/>
      <c r="E33" s="20" t="inlineStr">
        <is>
          <t>PASS/FAIL + note any controversy found</t>
        </is>
      </c>
    </row>
    <row r="35">
      <c r="B35" s="5" t="inlineStr">
        <is>
          <t>FIRST SCORE — replace the assigned score with a derived one</t>
        </is>
      </c>
      <c r="C35" s="6" t="inlineStr"/>
      <c r="D35" s="6" t="inlineStr"/>
      <c r="E35" s="6" t="inlineStr"/>
    </row>
    <row r="36">
      <c r="B36" s="24" t="inlineStr">
        <is>
          <t>Factor</t>
        </is>
      </c>
      <c r="C36" s="24" t="inlineStr">
        <is>
          <t>Weight</t>
        </is>
      </c>
      <c r="D36" s="24" t="inlineStr">
        <is>
          <t>Score 0-100</t>
        </is>
      </c>
      <c r="E36" s="24" t="inlineStr">
        <is>
          <t>Evidence you are scoring on</t>
        </is>
      </c>
    </row>
    <row r="37" ht="26" customHeight="1">
      <c r="B37" s="8" t="inlineStr">
        <is>
          <t>F — Future Relevance</t>
        </is>
      </c>
      <c r="C37" s="25" t="n">
        <v>0.25</v>
      </c>
      <c r="D37" s="18" t="n"/>
      <c r="E37" s="20" t="inlineStr">
        <is>
          <t>Scale and duration of the buildout; order backlog or contracted capacity</t>
        </is>
      </c>
    </row>
    <row r="38" ht="26" customHeight="1">
      <c r="B38" s="8" t="inlineStr">
        <is>
          <t>I — Impact on Youth</t>
        </is>
      </c>
      <c r="C38" s="25" t="n">
        <v>0.15</v>
      </c>
      <c r="D38" s="18" t="n"/>
      <c r="E38" s="20" t="inlineStr">
        <is>
          <t>Directness of link to a named "first"; segment revenue if disclosed</t>
        </is>
      </c>
    </row>
    <row r="39" ht="26" customHeight="1">
      <c r="B39" s="8" t="inlineStr">
        <is>
          <t>R — Resilient Finances</t>
        </is>
      </c>
      <c r="C39" s="25" t="n">
        <v>0.25</v>
      </c>
      <c r="D39" s="18" t="n"/>
      <c r="E39" s="20" t="inlineStr">
        <is>
          <t>Use the ROIC, FCF conversion and leverage computed above</t>
        </is>
      </c>
    </row>
    <row r="40" ht="26" customHeight="1">
      <c r="B40" s="8" t="inlineStr">
        <is>
          <t>S — Sensible Valuation</t>
        </is>
      </c>
      <c r="C40" s="25" t="n">
        <v>0.2</v>
      </c>
      <c r="D40" s="18" t="n"/>
      <c r="E40" s="20" t="inlineStr">
        <is>
          <t>EV/EBITDA vs the company's own 5-year range</t>
        </is>
      </c>
    </row>
    <row r="41" ht="26" customHeight="1">
      <c r="B41" s="8" t="inlineStr">
        <is>
          <t>T — Trust &amp; Governance</t>
        </is>
      </c>
      <c r="C41" s="25" t="n">
        <v>0.15</v>
      </c>
      <c r="D41" s="18" t="n"/>
      <c r="E41" s="20" t="inlineStr">
        <is>
          <t>Free float, related-party transactions, board independence</t>
        </is>
      </c>
    </row>
    <row r="42">
      <c r="B42" s="3" t="inlineStr">
        <is>
          <t>WEIGHTED CONVICTION SCORE</t>
        </is>
      </c>
      <c r="D42" s="26">
        <f>IFERROR(SUMPRODUCT(C37:C41,D37:D41),"")</f>
        <v/>
      </c>
    </row>
    <row r="44">
      <c r="B44" s="8" t="inlineStr">
        <is>
          <t>Score currently assumed in the engine</t>
        </is>
      </c>
      <c r="D44" s="14" t="n">
        <v>80</v>
      </c>
    </row>
    <row r="45">
      <c r="B45" s="8" t="inlineStr">
        <is>
          <t>Difference</t>
        </is>
      </c>
      <c r="D45" s="16">
        <f>IFERROR(D42-D44,"")</f>
        <v/>
      </c>
    </row>
    <row r="47">
      <c r="B47" s="5" t="inlineStr">
        <is>
          <t>SOURCES USED</t>
        </is>
      </c>
      <c r="C47" s="6" t="inlineStr"/>
      <c r="D47" s="6" t="inlineStr"/>
      <c r="E47" s="6" t="inlineStr"/>
    </row>
    <row r="48">
      <c r="B48" s="8" t="inlineStr">
        <is>
          <t>Source 1</t>
        </is>
      </c>
      <c r="C48" s="18" t="n"/>
      <c r="D48" s="27" t="n"/>
      <c r="E48" s="28" t="n"/>
    </row>
    <row r="49">
      <c r="B49" s="8" t="inlineStr">
        <is>
          <t>Source 2</t>
        </is>
      </c>
      <c r="C49" s="18" t="n"/>
      <c r="D49" s="27" t="n"/>
      <c r="E49" s="28" t="n"/>
    </row>
    <row r="50">
      <c r="B50" s="8" t="inlineStr">
        <is>
          <t>Source 3</t>
        </is>
      </c>
      <c r="C50" s="18" t="n"/>
      <c r="D50" s="27" t="n"/>
      <c r="E50" s="28" t="n"/>
    </row>
    <row r="51">
      <c r="B51" s="8" t="inlineStr">
        <is>
          <t>Source 4</t>
        </is>
      </c>
      <c r="C51" s="18" t="n"/>
      <c r="D51" s="27" t="n"/>
      <c r="E51" s="28" t="n"/>
    </row>
  </sheetData>
  <mergeCells count="4">
    <mergeCell ref="C49:E49"/>
    <mergeCell ref="C48:E48"/>
    <mergeCell ref="C50:E50"/>
    <mergeCell ref="C51:E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5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5" customWidth="1" min="4" max="4"/>
    <col width="40" customWidth="1" min="5" max="5"/>
    <col width="3" customWidth="1" min="6" max="6"/>
  </cols>
  <sheetData>
    <row r="2">
      <c r="B2" s="1" t="inlineStr">
        <is>
          <t>Vertiv Holdings  (VRT)</t>
        </is>
      </c>
    </row>
    <row r="3">
      <c r="B3" s="2" t="inlineStr">
        <is>
          <t>Priority 3  ·  Fill BLUE cells only  ·  every figure needs a source</t>
        </is>
      </c>
    </row>
    <row r="5">
      <c r="B5" s="5" t="inlineStr">
        <is>
          <t>RAW FIGURES — pull these from the filing</t>
        </is>
      </c>
      <c r="C5" s="6" t="inlineStr"/>
      <c r="D5" s="6" t="inlineStr"/>
      <c r="E5" s="6" t="inlineStr"/>
    </row>
    <row r="6">
      <c r="B6" s="8" t="inlineStr">
        <is>
          <t>Revenue, latest FY</t>
        </is>
      </c>
      <c r="C6" s="19" t="inlineStr">
        <is>
          <t>currency mn</t>
        </is>
      </c>
      <c r="D6" s="18" t="n"/>
      <c r="E6" s="20" t="inlineStr">
        <is>
          <t>Income statement</t>
        </is>
      </c>
    </row>
    <row r="7">
      <c r="B7" s="8" t="inlineStr">
        <is>
          <t>Revenue, 3 years ago</t>
        </is>
      </c>
      <c r="C7" s="19" t="inlineStr">
        <is>
          <t>currency mn</t>
        </is>
      </c>
      <c r="D7" s="18" t="n"/>
      <c r="E7" s="20" t="inlineStr">
        <is>
          <t>Income statement, comparatives</t>
        </is>
      </c>
    </row>
    <row r="8">
      <c r="B8" s="8" t="inlineStr">
        <is>
          <t>EBIT (operating profit)</t>
        </is>
      </c>
      <c r="C8" s="19" t="inlineStr">
        <is>
          <t>currency mn</t>
        </is>
      </c>
      <c r="D8" s="18" t="n"/>
      <c r="E8" s="20" t="inlineStr">
        <is>
          <t>Income statement</t>
        </is>
      </c>
    </row>
    <row r="9">
      <c r="B9" s="8" t="inlineStr">
        <is>
          <t>EBITDA</t>
        </is>
      </c>
      <c r="C9" s="19" t="inlineStr">
        <is>
          <t>currency mn</t>
        </is>
      </c>
      <c r="D9" s="18" t="n"/>
      <c r="E9" s="20" t="inlineStr">
        <is>
          <t>Income statement or MD&amp;A</t>
        </is>
      </c>
    </row>
    <row r="10">
      <c r="B10" s="8" t="inlineStr">
        <is>
          <t>Effective tax rate</t>
        </is>
      </c>
      <c r="C10" s="19" t="inlineStr">
        <is>
          <t>decimal e.g. 0.25</t>
        </is>
      </c>
      <c r="D10" s="18" t="n"/>
      <c r="E10" s="20" t="inlineStr">
        <is>
          <t>Tax note</t>
        </is>
      </c>
    </row>
    <row r="11">
      <c r="B11" s="8" t="inlineStr">
        <is>
          <t>Net income</t>
        </is>
      </c>
      <c r="C11" s="19" t="inlineStr">
        <is>
          <t>currency mn</t>
        </is>
      </c>
      <c r="D11" s="18" t="n"/>
      <c r="E11" s="20" t="inlineStr">
        <is>
          <t>Income statement</t>
        </is>
      </c>
    </row>
    <row r="12">
      <c r="B12" s="8" t="inlineStr">
        <is>
          <t>Operating cash flow</t>
        </is>
      </c>
      <c r="C12" s="19" t="inlineStr">
        <is>
          <t>currency mn</t>
        </is>
      </c>
      <c r="D12" s="18" t="n"/>
      <c r="E12" s="20" t="inlineStr">
        <is>
          <t>Cash flow statement</t>
        </is>
      </c>
    </row>
    <row r="13">
      <c r="B13" s="8" t="inlineStr">
        <is>
          <t>Capital expenditure</t>
        </is>
      </c>
      <c r="C13" s="19" t="inlineStr">
        <is>
          <t>currency mn</t>
        </is>
      </c>
      <c r="D13" s="18" t="n"/>
      <c r="E13" s="20" t="inlineStr">
        <is>
          <t>Cash flow statement — investing</t>
        </is>
      </c>
    </row>
    <row r="14">
      <c r="B14" s="8" t="inlineStr">
        <is>
          <t>Total debt</t>
        </is>
      </c>
      <c r="C14" s="19" t="inlineStr">
        <is>
          <t>currency mn</t>
        </is>
      </c>
      <c r="D14" s="18" t="n"/>
      <c r="E14" s="20" t="inlineStr">
        <is>
          <t>Balance sheet</t>
        </is>
      </c>
    </row>
    <row r="15">
      <c r="B15" s="8" t="inlineStr">
        <is>
          <t>Cash &amp; equivalents</t>
        </is>
      </c>
      <c r="C15" s="19" t="inlineStr">
        <is>
          <t>currency mn</t>
        </is>
      </c>
      <c r="D15" s="18" t="n"/>
      <c r="E15" s="20" t="inlineStr">
        <is>
          <t>Balance sheet</t>
        </is>
      </c>
    </row>
    <row r="16">
      <c r="B16" s="8" t="inlineStr">
        <is>
          <t>Total equity</t>
        </is>
      </c>
      <c r="C16" s="19" t="inlineStr">
        <is>
          <t>currency mn</t>
        </is>
      </c>
      <c r="D16" s="18" t="n"/>
      <c r="E16" s="20" t="inlineStr">
        <is>
          <t>Balance sheet</t>
        </is>
      </c>
    </row>
    <row r="17">
      <c r="B17" s="8" t="inlineStr">
        <is>
          <t>Interest expense</t>
        </is>
      </c>
      <c r="C17" s="19" t="inlineStr">
        <is>
          <t>currency mn</t>
        </is>
      </c>
      <c r="D17" s="18" t="n"/>
      <c r="E17" s="20" t="inlineStr">
        <is>
          <t>Finance costs note</t>
        </is>
      </c>
    </row>
    <row r="18">
      <c r="B18" s="8" t="inlineStr">
        <is>
          <t>Market capitalisation</t>
        </is>
      </c>
      <c r="C18" s="19" t="inlineStr">
        <is>
          <t>currency mn</t>
        </is>
      </c>
      <c r="D18" s="18" t="n"/>
      <c r="E18" s="20" t="inlineStr">
        <is>
          <t>Share price x shares out</t>
        </is>
      </c>
    </row>
    <row r="19">
      <c r="B19" s="8" t="inlineStr">
        <is>
          <t>Free float</t>
        </is>
      </c>
      <c r="C19" s="19" t="inlineStr">
        <is>
          <t>%  e.g. 0.35</t>
        </is>
      </c>
      <c r="D19" s="18" t="n"/>
      <c r="E19" s="20" t="inlineStr">
        <is>
          <t>Ownership / shareholding note</t>
        </is>
      </c>
    </row>
    <row r="21">
      <c r="B21" s="5" t="inlineStr">
        <is>
          <t>COMPUTED RATIOS — do not edit, these calculate</t>
        </is>
      </c>
      <c r="C21" s="6" t="inlineStr"/>
      <c r="D21" s="6" t="inlineStr"/>
      <c r="E21" s="6" t="inlineStr"/>
    </row>
    <row r="22">
      <c r="B22" s="8" t="inlineStr">
        <is>
          <t>Revenue 3-yr CAGR</t>
        </is>
      </c>
      <c r="D22" s="21">
        <f>IFERROR((D6/D7)^(1/3)-1,"")</f>
        <v/>
      </c>
    </row>
    <row r="23">
      <c r="B23" s="8" t="inlineStr">
        <is>
          <t>ROIC  (NOPAT / invested capital)</t>
        </is>
      </c>
      <c r="D23" s="21">
        <f>IFERROR(D8*(1-D10)/(D14+D16-D15),"")</f>
        <v/>
      </c>
    </row>
    <row r="24">
      <c r="B24" s="8" t="inlineStr">
        <is>
          <t>FCF conversion  (OCF-capex)/NI</t>
        </is>
      </c>
      <c r="D24" s="21">
        <f>IFERROR((D12-D13)/D11,"")</f>
        <v/>
      </c>
    </row>
    <row r="25">
      <c r="B25" s="8" t="inlineStr">
        <is>
          <t>Net debt / EBITDA</t>
        </is>
      </c>
      <c r="D25" s="22">
        <f>IFERROR((D14-D15)/D9,"")</f>
        <v/>
      </c>
    </row>
    <row r="26">
      <c r="B26" s="8" t="inlineStr">
        <is>
          <t>EBIT interest cover</t>
        </is>
      </c>
      <c r="D26" s="22">
        <f>IFERROR(D8/D17,"")</f>
        <v/>
      </c>
    </row>
    <row r="27">
      <c r="B27" s="8" t="inlineStr">
        <is>
          <t>EV / EBITDA</t>
        </is>
      </c>
      <c r="D27" s="22">
        <f>IFERROR((D18+D14-D15)/D9,"")</f>
        <v/>
      </c>
    </row>
    <row r="29">
      <c r="B29" s="5" t="inlineStr">
        <is>
          <t>BUILDOUT TEST — the four gates, now actually tested</t>
        </is>
      </c>
      <c r="C29" s="6" t="inlineStr"/>
      <c r="D29" s="6" t="inlineStr"/>
      <c r="E29" s="6" t="inlineStr"/>
    </row>
    <row r="30" ht="28" customHeight="1">
      <c r="B30" s="3" t="inlineStr">
        <is>
          <t>B1  Buildout</t>
        </is>
      </c>
      <c r="C30" s="23" t="inlineStr">
        <is>
          <t>&gt;=20% of revenue or 3-yr capex tied to a PUBLISHED capacity target</t>
        </is>
      </c>
      <c r="D30" s="18" t="n"/>
      <c r="E30" s="20" t="inlineStr">
        <is>
          <t>PASS/FAIL + the actual %, and name the programme (e.g. DOE NREP, disclosed fab capex)</t>
        </is>
      </c>
    </row>
    <row r="31" ht="28" customHeight="1">
      <c r="B31" s="3" t="inlineStr">
        <is>
          <t>B2  Liquidity</t>
        </is>
      </c>
      <c r="C31" s="23" t="inlineStr">
        <is>
          <t>90-day ADTV &gt;= PHP30M (PH) / USD5M (offshore); free float &gt;=20%</t>
        </is>
      </c>
      <c r="D31" s="18" t="n"/>
      <c r="E31" s="20" t="inlineStr">
        <is>
          <t>PASS/FAIL + the ADTV figure and its source</t>
        </is>
      </c>
    </row>
    <row r="32" ht="28" customHeight="1">
      <c r="B32" s="3" t="inlineStr">
        <is>
          <t>B3  Solvency</t>
        </is>
      </c>
      <c r="C32" s="23" t="inlineStr">
        <is>
          <t>Net debt/EBITDA &lt;=4.0x OR net cash; if net debt positive, interest cover &gt;=2.5x</t>
        </is>
      </c>
      <c r="D32" s="18" t="n"/>
      <c r="E32" s="20" t="inlineStr">
        <is>
          <t>PASS/FAIL — read it off the computed ratios above</t>
        </is>
      </c>
    </row>
    <row r="33" ht="28" customHeight="1">
      <c r="B33" s="3" t="inlineStr">
        <is>
          <t>B4  Conduct</t>
        </is>
      </c>
      <c r="C33" s="23" t="inlineStr">
        <is>
          <t>No thermal coal &gt;10% of revenue; no UNGC breach; CG disclosure</t>
        </is>
      </c>
      <c r="D33" s="18" t="n"/>
      <c r="E33" s="20" t="inlineStr">
        <is>
          <t>PASS/FAIL + note any controversy found</t>
        </is>
      </c>
    </row>
    <row r="35">
      <c r="B35" s="5" t="inlineStr">
        <is>
          <t>FIRST SCORE — replace the assigned score with a derived one</t>
        </is>
      </c>
      <c r="C35" s="6" t="inlineStr"/>
      <c r="D35" s="6" t="inlineStr"/>
      <c r="E35" s="6" t="inlineStr"/>
    </row>
    <row r="36">
      <c r="B36" s="24" t="inlineStr">
        <is>
          <t>Factor</t>
        </is>
      </c>
      <c r="C36" s="24" t="inlineStr">
        <is>
          <t>Weight</t>
        </is>
      </c>
      <c r="D36" s="24" t="inlineStr">
        <is>
          <t>Score 0-100</t>
        </is>
      </c>
      <c r="E36" s="24" t="inlineStr">
        <is>
          <t>Evidence you are scoring on</t>
        </is>
      </c>
    </row>
    <row r="37" ht="26" customHeight="1">
      <c r="B37" s="8" t="inlineStr">
        <is>
          <t>F — Future Relevance</t>
        </is>
      </c>
      <c r="C37" s="25" t="n">
        <v>0.25</v>
      </c>
      <c r="D37" s="18" t="n"/>
      <c r="E37" s="20" t="inlineStr">
        <is>
          <t>Scale and duration of the buildout; order backlog or contracted capacity</t>
        </is>
      </c>
    </row>
    <row r="38" ht="26" customHeight="1">
      <c r="B38" s="8" t="inlineStr">
        <is>
          <t>I — Impact on Youth</t>
        </is>
      </c>
      <c r="C38" s="25" t="n">
        <v>0.15</v>
      </c>
      <c r="D38" s="18" t="n"/>
      <c r="E38" s="20" t="inlineStr">
        <is>
          <t>Directness of link to a named "first"; segment revenue if disclosed</t>
        </is>
      </c>
    </row>
    <row r="39" ht="26" customHeight="1">
      <c r="B39" s="8" t="inlineStr">
        <is>
          <t>R — Resilient Finances</t>
        </is>
      </c>
      <c r="C39" s="25" t="n">
        <v>0.25</v>
      </c>
      <c r="D39" s="18" t="n"/>
      <c r="E39" s="20" t="inlineStr">
        <is>
          <t>Use the ROIC, FCF conversion and leverage computed above</t>
        </is>
      </c>
    </row>
    <row r="40" ht="26" customHeight="1">
      <c r="B40" s="8" t="inlineStr">
        <is>
          <t>S — Sensible Valuation</t>
        </is>
      </c>
      <c r="C40" s="25" t="n">
        <v>0.2</v>
      </c>
      <c r="D40" s="18" t="n"/>
      <c r="E40" s="20" t="inlineStr">
        <is>
          <t>EV/EBITDA vs the company's own 5-year range</t>
        </is>
      </c>
    </row>
    <row r="41" ht="26" customHeight="1">
      <c r="B41" s="8" t="inlineStr">
        <is>
          <t>T — Trust &amp; Governance</t>
        </is>
      </c>
      <c r="C41" s="25" t="n">
        <v>0.15</v>
      </c>
      <c r="D41" s="18" t="n"/>
      <c r="E41" s="20" t="inlineStr">
        <is>
          <t>Free float, related-party transactions, board independence</t>
        </is>
      </c>
    </row>
    <row r="42">
      <c r="B42" s="3" t="inlineStr">
        <is>
          <t>WEIGHTED CONVICTION SCORE</t>
        </is>
      </c>
      <c r="D42" s="26">
        <f>IFERROR(SUMPRODUCT(C37:C41,D37:D41),"")</f>
        <v/>
      </c>
    </row>
    <row r="44">
      <c r="B44" s="8" t="inlineStr">
        <is>
          <t>Score currently assumed in the engine</t>
        </is>
      </c>
      <c r="D44" s="14" t="n">
        <v>76</v>
      </c>
    </row>
    <row r="45">
      <c r="B45" s="8" t="inlineStr">
        <is>
          <t>Difference</t>
        </is>
      </c>
      <c r="D45" s="16">
        <f>IFERROR(D42-D44,"")</f>
        <v/>
      </c>
    </row>
    <row r="47">
      <c r="B47" s="5" t="inlineStr">
        <is>
          <t>SOURCES USED</t>
        </is>
      </c>
      <c r="C47" s="6" t="inlineStr"/>
      <c r="D47" s="6" t="inlineStr"/>
      <c r="E47" s="6" t="inlineStr"/>
    </row>
    <row r="48">
      <c r="B48" s="8" t="inlineStr">
        <is>
          <t>Source 1</t>
        </is>
      </c>
      <c r="C48" s="18" t="n"/>
      <c r="D48" s="27" t="n"/>
      <c r="E48" s="28" t="n"/>
    </row>
    <row r="49">
      <c r="B49" s="8" t="inlineStr">
        <is>
          <t>Source 2</t>
        </is>
      </c>
      <c r="C49" s="18" t="n"/>
      <c r="D49" s="27" t="n"/>
      <c r="E49" s="28" t="n"/>
    </row>
    <row r="50">
      <c r="B50" s="8" t="inlineStr">
        <is>
          <t>Source 3</t>
        </is>
      </c>
      <c r="C50" s="18" t="n"/>
      <c r="D50" s="27" t="n"/>
      <c r="E50" s="28" t="n"/>
    </row>
    <row r="51">
      <c r="B51" s="8" t="inlineStr">
        <is>
          <t>Source 4</t>
        </is>
      </c>
      <c r="C51" s="18" t="n"/>
      <c r="D51" s="27" t="n"/>
      <c r="E51" s="28" t="n"/>
    </row>
  </sheetData>
  <mergeCells count="4">
    <mergeCell ref="C49:E49"/>
    <mergeCell ref="C48:E48"/>
    <mergeCell ref="C50:E50"/>
    <mergeCell ref="C51:E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5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5" customWidth="1" min="4" max="4"/>
    <col width="40" customWidth="1" min="5" max="5"/>
    <col width="3" customWidth="1" min="6" max="6"/>
  </cols>
  <sheetData>
    <row r="2">
      <c r="B2" s="1" t="inlineStr">
        <is>
          <t>Century Pacific Food  (CNPF)</t>
        </is>
      </c>
    </row>
    <row r="3">
      <c r="B3" s="2" t="inlineStr">
        <is>
          <t>Priority 4  ·  Fill BLUE cells only  ·  every figure needs a source</t>
        </is>
      </c>
    </row>
    <row r="5">
      <c r="B5" s="5" t="inlineStr">
        <is>
          <t>RAW FIGURES — pull these from the filing</t>
        </is>
      </c>
      <c r="C5" s="6" t="inlineStr"/>
      <c r="D5" s="6" t="inlineStr"/>
      <c r="E5" s="6" t="inlineStr"/>
    </row>
    <row r="6">
      <c r="B6" s="8" t="inlineStr">
        <is>
          <t>Revenue, latest FY</t>
        </is>
      </c>
      <c r="C6" s="19" t="inlineStr">
        <is>
          <t>currency mn</t>
        </is>
      </c>
      <c r="D6" s="18" t="n"/>
      <c r="E6" s="20" t="inlineStr">
        <is>
          <t>Income statement</t>
        </is>
      </c>
    </row>
    <row r="7">
      <c r="B7" s="8" t="inlineStr">
        <is>
          <t>Revenue, 3 years ago</t>
        </is>
      </c>
      <c r="C7" s="19" t="inlineStr">
        <is>
          <t>currency mn</t>
        </is>
      </c>
      <c r="D7" s="18" t="n"/>
      <c r="E7" s="20" t="inlineStr">
        <is>
          <t>Income statement, comparatives</t>
        </is>
      </c>
    </row>
    <row r="8">
      <c r="B8" s="8" t="inlineStr">
        <is>
          <t>EBIT (operating profit)</t>
        </is>
      </c>
      <c r="C8" s="19" t="inlineStr">
        <is>
          <t>currency mn</t>
        </is>
      </c>
      <c r="D8" s="18" t="n"/>
      <c r="E8" s="20" t="inlineStr">
        <is>
          <t>Income statement</t>
        </is>
      </c>
    </row>
    <row r="9">
      <c r="B9" s="8" t="inlineStr">
        <is>
          <t>EBITDA</t>
        </is>
      </c>
      <c r="C9" s="19" t="inlineStr">
        <is>
          <t>currency mn</t>
        </is>
      </c>
      <c r="D9" s="18" t="n"/>
      <c r="E9" s="20" t="inlineStr">
        <is>
          <t>Income statement or MD&amp;A</t>
        </is>
      </c>
    </row>
    <row r="10">
      <c r="B10" s="8" t="inlineStr">
        <is>
          <t>Effective tax rate</t>
        </is>
      </c>
      <c r="C10" s="19" t="inlineStr">
        <is>
          <t>decimal e.g. 0.25</t>
        </is>
      </c>
      <c r="D10" s="18" t="n"/>
      <c r="E10" s="20" t="inlineStr">
        <is>
          <t>Tax note</t>
        </is>
      </c>
    </row>
    <row r="11">
      <c r="B11" s="8" t="inlineStr">
        <is>
          <t>Net income</t>
        </is>
      </c>
      <c r="C11" s="19" t="inlineStr">
        <is>
          <t>currency mn</t>
        </is>
      </c>
      <c r="D11" s="18" t="n"/>
      <c r="E11" s="20" t="inlineStr">
        <is>
          <t>Income statement</t>
        </is>
      </c>
    </row>
    <row r="12">
      <c r="B12" s="8" t="inlineStr">
        <is>
          <t>Operating cash flow</t>
        </is>
      </c>
      <c r="C12" s="19" t="inlineStr">
        <is>
          <t>currency mn</t>
        </is>
      </c>
      <c r="D12" s="18" t="n"/>
      <c r="E12" s="20" t="inlineStr">
        <is>
          <t>Cash flow statement</t>
        </is>
      </c>
    </row>
    <row r="13">
      <c r="B13" s="8" t="inlineStr">
        <is>
          <t>Capital expenditure</t>
        </is>
      </c>
      <c r="C13" s="19" t="inlineStr">
        <is>
          <t>currency mn</t>
        </is>
      </c>
      <c r="D13" s="18" t="n"/>
      <c r="E13" s="20" t="inlineStr">
        <is>
          <t>Cash flow statement — investing</t>
        </is>
      </c>
    </row>
    <row r="14">
      <c r="B14" s="8" t="inlineStr">
        <is>
          <t>Total debt</t>
        </is>
      </c>
      <c r="C14" s="19" t="inlineStr">
        <is>
          <t>currency mn</t>
        </is>
      </c>
      <c r="D14" s="18" t="n"/>
      <c r="E14" s="20" t="inlineStr">
        <is>
          <t>Balance sheet</t>
        </is>
      </c>
    </row>
    <row r="15">
      <c r="B15" s="8" t="inlineStr">
        <is>
          <t>Cash &amp; equivalents</t>
        </is>
      </c>
      <c r="C15" s="19" t="inlineStr">
        <is>
          <t>currency mn</t>
        </is>
      </c>
      <c r="D15" s="18" t="n"/>
      <c r="E15" s="20" t="inlineStr">
        <is>
          <t>Balance sheet</t>
        </is>
      </c>
    </row>
    <row r="16">
      <c r="B16" s="8" t="inlineStr">
        <is>
          <t>Total equity</t>
        </is>
      </c>
      <c r="C16" s="19" t="inlineStr">
        <is>
          <t>currency mn</t>
        </is>
      </c>
      <c r="D16" s="18" t="n"/>
      <c r="E16" s="20" t="inlineStr">
        <is>
          <t>Balance sheet</t>
        </is>
      </c>
    </row>
    <row r="17">
      <c r="B17" s="8" t="inlineStr">
        <is>
          <t>Interest expense</t>
        </is>
      </c>
      <c r="C17" s="19" t="inlineStr">
        <is>
          <t>currency mn</t>
        </is>
      </c>
      <c r="D17" s="18" t="n"/>
      <c r="E17" s="20" t="inlineStr">
        <is>
          <t>Finance costs note</t>
        </is>
      </c>
    </row>
    <row r="18">
      <c r="B18" s="8" t="inlineStr">
        <is>
          <t>Market capitalisation</t>
        </is>
      </c>
      <c r="C18" s="19" t="inlineStr">
        <is>
          <t>currency mn</t>
        </is>
      </c>
      <c r="D18" s="18" t="n"/>
      <c r="E18" s="20" t="inlineStr">
        <is>
          <t>Share price x shares out</t>
        </is>
      </c>
    </row>
    <row r="19">
      <c r="B19" s="8" t="inlineStr">
        <is>
          <t>Free float</t>
        </is>
      </c>
      <c r="C19" s="19" t="inlineStr">
        <is>
          <t>%  e.g. 0.35</t>
        </is>
      </c>
      <c r="D19" s="18" t="n"/>
      <c r="E19" s="20" t="inlineStr">
        <is>
          <t>Ownership / shareholding note</t>
        </is>
      </c>
    </row>
    <row r="21">
      <c r="B21" s="5" t="inlineStr">
        <is>
          <t>COMPUTED RATIOS — do not edit, these calculate</t>
        </is>
      </c>
      <c r="C21" s="6" t="inlineStr"/>
      <c r="D21" s="6" t="inlineStr"/>
      <c r="E21" s="6" t="inlineStr"/>
    </row>
    <row r="22">
      <c r="B22" s="8" t="inlineStr">
        <is>
          <t>Revenue 3-yr CAGR</t>
        </is>
      </c>
      <c r="D22" s="21">
        <f>IFERROR((D6/D7)^(1/3)-1,"")</f>
        <v/>
      </c>
    </row>
    <row r="23">
      <c r="B23" s="8" t="inlineStr">
        <is>
          <t>ROIC  (NOPAT / invested capital)</t>
        </is>
      </c>
      <c r="D23" s="21">
        <f>IFERROR(D8*(1-D10)/(D14+D16-D15),"")</f>
        <v/>
      </c>
    </row>
    <row r="24">
      <c r="B24" s="8" t="inlineStr">
        <is>
          <t>FCF conversion  (OCF-capex)/NI</t>
        </is>
      </c>
      <c r="D24" s="21">
        <f>IFERROR((D12-D13)/D11,"")</f>
        <v/>
      </c>
    </row>
    <row r="25">
      <c r="B25" s="8" t="inlineStr">
        <is>
          <t>Net debt / EBITDA</t>
        </is>
      </c>
      <c r="D25" s="22">
        <f>IFERROR((D14-D15)/D9,"")</f>
        <v/>
      </c>
    </row>
    <row r="26">
      <c r="B26" s="8" t="inlineStr">
        <is>
          <t>EBIT interest cover</t>
        </is>
      </c>
      <c r="D26" s="22">
        <f>IFERROR(D8/D17,"")</f>
        <v/>
      </c>
    </row>
    <row r="27">
      <c r="B27" s="8" t="inlineStr">
        <is>
          <t>EV / EBITDA</t>
        </is>
      </c>
      <c r="D27" s="22">
        <f>IFERROR((D18+D14-D15)/D9,"")</f>
        <v/>
      </c>
    </row>
    <row r="29">
      <c r="B29" s="5" t="inlineStr">
        <is>
          <t>BUILDOUT TEST — the four gates, now actually tested</t>
        </is>
      </c>
      <c r="C29" s="6" t="inlineStr"/>
      <c r="D29" s="6" t="inlineStr"/>
      <c r="E29" s="6" t="inlineStr"/>
    </row>
    <row r="30" ht="28" customHeight="1">
      <c r="B30" s="3" t="inlineStr">
        <is>
          <t>B1  Buildout</t>
        </is>
      </c>
      <c r="C30" s="23" t="inlineStr">
        <is>
          <t>&gt;=20% of revenue or 3-yr capex tied to a PUBLISHED capacity target</t>
        </is>
      </c>
      <c r="D30" s="18" t="n"/>
      <c r="E30" s="20" t="inlineStr">
        <is>
          <t>PASS/FAIL + the actual %, and name the programme (e.g. DOE NREP, disclosed fab capex)</t>
        </is>
      </c>
    </row>
    <row r="31" ht="28" customHeight="1">
      <c r="B31" s="3" t="inlineStr">
        <is>
          <t>B2  Liquidity</t>
        </is>
      </c>
      <c r="C31" s="23" t="inlineStr">
        <is>
          <t>90-day ADTV &gt;= PHP30M (PH) / USD5M (offshore); free float &gt;=20%</t>
        </is>
      </c>
      <c r="D31" s="18" t="n"/>
      <c r="E31" s="20" t="inlineStr">
        <is>
          <t>PASS/FAIL + the ADTV figure and its source</t>
        </is>
      </c>
    </row>
    <row r="32" ht="28" customHeight="1">
      <c r="B32" s="3" t="inlineStr">
        <is>
          <t>B3  Solvency</t>
        </is>
      </c>
      <c r="C32" s="23" t="inlineStr">
        <is>
          <t>Net debt/EBITDA &lt;=4.0x OR net cash; if net debt positive, interest cover &gt;=2.5x</t>
        </is>
      </c>
      <c r="D32" s="18" t="n"/>
      <c r="E32" s="20" t="inlineStr">
        <is>
          <t>PASS/FAIL — read it off the computed ratios above</t>
        </is>
      </c>
    </row>
    <row r="33" ht="28" customHeight="1">
      <c r="B33" s="3" t="inlineStr">
        <is>
          <t>B4  Conduct</t>
        </is>
      </c>
      <c r="C33" s="23" t="inlineStr">
        <is>
          <t>No thermal coal &gt;10% of revenue; no UNGC breach; CG disclosure</t>
        </is>
      </c>
      <c r="D33" s="18" t="n"/>
      <c r="E33" s="20" t="inlineStr">
        <is>
          <t>PASS/FAIL + note any controversy found</t>
        </is>
      </c>
    </row>
    <row r="35">
      <c r="B35" s="5" t="inlineStr">
        <is>
          <t>FIRST SCORE — replace the assigned score with a derived one</t>
        </is>
      </c>
      <c r="C35" s="6" t="inlineStr"/>
      <c r="D35" s="6" t="inlineStr"/>
      <c r="E35" s="6" t="inlineStr"/>
    </row>
    <row r="36">
      <c r="B36" s="24" t="inlineStr">
        <is>
          <t>Factor</t>
        </is>
      </c>
      <c r="C36" s="24" t="inlineStr">
        <is>
          <t>Weight</t>
        </is>
      </c>
      <c r="D36" s="24" t="inlineStr">
        <is>
          <t>Score 0-100</t>
        </is>
      </c>
      <c r="E36" s="24" t="inlineStr">
        <is>
          <t>Evidence you are scoring on</t>
        </is>
      </c>
    </row>
    <row r="37" ht="26" customHeight="1">
      <c r="B37" s="8" t="inlineStr">
        <is>
          <t>F — Future Relevance</t>
        </is>
      </c>
      <c r="C37" s="25" t="n">
        <v>0.25</v>
      </c>
      <c r="D37" s="18" t="n"/>
      <c r="E37" s="20" t="inlineStr">
        <is>
          <t>Scale and duration of the buildout; order backlog or contracted capacity</t>
        </is>
      </c>
    </row>
    <row r="38" ht="26" customHeight="1">
      <c r="B38" s="8" t="inlineStr">
        <is>
          <t>I — Impact on Youth</t>
        </is>
      </c>
      <c r="C38" s="25" t="n">
        <v>0.15</v>
      </c>
      <c r="D38" s="18" t="n"/>
      <c r="E38" s="20" t="inlineStr">
        <is>
          <t>Directness of link to a named "first"; segment revenue if disclosed</t>
        </is>
      </c>
    </row>
    <row r="39" ht="26" customHeight="1">
      <c r="B39" s="8" t="inlineStr">
        <is>
          <t>R — Resilient Finances</t>
        </is>
      </c>
      <c r="C39" s="25" t="n">
        <v>0.25</v>
      </c>
      <c r="D39" s="18" t="n"/>
      <c r="E39" s="20" t="inlineStr">
        <is>
          <t>Use the ROIC, FCF conversion and leverage computed above</t>
        </is>
      </c>
    </row>
    <row r="40" ht="26" customHeight="1">
      <c r="B40" s="8" t="inlineStr">
        <is>
          <t>S — Sensible Valuation</t>
        </is>
      </c>
      <c r="C40" s="25" t="n">
        <v>0.2</v>
      </c>
      <c r="D40" s="18" t="n"/>
      <c r="E40" s="20" t="inlineStr">
        <is>
          <t>EV/EBITDA vs the company's own 5-year range</t>
        </is>
      </c>
    </row>
    <row r="41" ht="26" customHeight="1">
      <c r="B41" s="8" t="inlineStr">
        <is>
          <t>T — Trust &amp; Governance</t>
        </is>
      </c>
      <c r="C41" s="25" t="n">
        <v>0.15</v>
      </c>
      <c r="D41" s="18" t="n"/>
      <c r="E41" s="20" t="inlineStr">
        <is>
          <t>Free float, related-party transactions, board independence</t>
        </is>
      </c>
    </row>
    <row r="42">
      <c r="B42" s="3" t="inlineStr">
        <is>
          <t>WEIGHTED CONVICTION SCORE</t>
        </is>
      </c>
      <c r="D42" s="26">
        <f>IFERROR(SUMPRODUCT(C37:C41,D37:D41),"")</f>
        <v/>
      </c>
    </row>
    <row r="44">
      <c r="B44" s="8" t="inlineStr">
        <is>
          <t>Score currently assumed in the engine</t>
        </is>
      </c>
      <c r="D44" s="14" t="n">
        <v>78</v>
      </c>
    </row>
    <row r="45">
      <c r="B45" s="8" t="inlineStr">
        <is>
          <t>Difference</t>
        </is>
      </c>
      <c r="D45" s="16">
        <f>IFERROR(D42-D44,"")</f>
        <v/>
      </c>
    </row>
    <row r="47">
      <c r="B47" s="5" t="inlineStr">
        <is>
          <t>SOURCES USED</t>
        </is>
      </c>
      <c r="C47" s="6" t="inlineStr"/>
      <c r="D47" s="6" t="inlineStr"/>
      <c r="E47" s="6" t="inlineStr"/>
    </row>
    <row r="48">
      <c r="B48" s="8" t="inlineStr">
        <is>
          <t>Source 1</t>
        </is>
      </c>
      <c r="C48" s="18" t="n"/>
      <c r="D48" s="27" t="n"/>
      <c r="E48" s="28" t="n"/>
    </row>
    <row r="49">
      <c r="B49" s="8" t="inlineStr">
        <is>
          <t>Source 2</t>
        </is>
      </c>
      <c r="C49" s="18" t="n"/>
      <c r="D49" s="27" t="n"/>
      <c r="E49" s="28" t="n"/>
    </row>
    <row r="50">
      <c r="B50" s="8" t="inlineStr">
        <is>
          <t>Source 3</t>
        </is>
      </c>
      <c r="C50" s="18" t="n"/>
      <c r="D50" s="27" t="n"/>
      <c r="E50" s="28" t="n"/>
    </row>
    <row r="51">
      <c r="B51" s="8" t="inlineStr">
        <is>
          <t>Source 4</t>
        </is>
      </c>
      <c r="C51" s="18" t="n"/>
      <c r="D51" s="27" t="n"/>
      <c r="E51" s="28" t="n"/>
    </row>
  </sheetData>
  <mergeCells count="4">
    <mergeCell ref="C49:E49"/>
    <mergeCell ref="C48:E48"/>
    <mergeCell ref="C50:E50"/>
    <mergeCell ref="C51:E5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5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5" customWidth="1" min="4" max="4"/>
    <col width="40" customWidth="1" min="5" max="5"/>
    <col width="3" customWidth="1" min="6" max="6"/>
  </cols>
  <sheetData>
    <row r="2">
      <c r="B2" s="1" t="inlineStr">
        <is>
          <t>DBS Group Holdings  (D05)</t>
        </is>
      </c>
    </row>
    <row r="3">
      <c r="B3" s="2" t="inlineStr">
        <is>
          <t>Priority 5  ·  Fill BLUE cells only  ·  every figure needs a source</t>
        </is>
      </c>
    </row>
    <row r="5">
      <c r="B5" s="5" t="inlineStr">
        <is>
          <t>RAW FIGURES — pull these from the filing</t>
        </is>
      </c>
      <c r="C5" s="6" t="inlineStr"/>
      <c r="D5" s="6" t="inlineStr"/>
      <c r="E5" s="6" t="inlineStr"/>
    </row>
    <row r="6">
      <c r="B6" s="8" t="inlineStr">
        <is>
          <t>Revenue, latest FY</t>
        </is>
      </c>
      <c r="C6" s="19" t="inlineStr">
        <is>
          <t>currency mn</t>
        </is>
      </c>
      <c r="D6" s="18" t="n"/>
      <c r="E6" s="20" t="inlineStr">
        <is>
          <t>Income statement</t>
        </is>
      </c>
    </row>
    <row r="7">
      <c r="B7" s="8" t="inlineStr">
        <is>
          <t>Revenue, 3 years ago</t>
        </is>
      </c>
      <c r="C7" s="19" t="inlineStr">
        <is>
          <t>currency mn</t>
        </is>
      </c>
      <c r="D7" s="18" t="n"/>
      <c r="E7" s="20" t="inlineStr">
        <is>
          <t>Income statement, comparatives</t>
        </is>
      </c>
    </row>
    <row r="8">
      <c r="B8" s="8" t="inlineStr">
        <is>
          <t>EBIT (operating profit)</t>
        </is>
      </c>
      <c r="C8" s="19" t="inlineStr">
        <is>
          <t>currency mn</t>
        </is>
      </c>
      <c r="D8" s="18" t="n"/>
      <c r="E8" s="20" t="inlineStr">
        <is>
          <t>Income statement</t>
        </is>
      </c>
    </row>
    <row r="9">
      <c r="B9" s="8" t="inlineStr">
        <is>
          <t>EBITDA</t>
        </is>
      </c>
      <c r="C9" s="19" t="inlineStr">
        <is>
          <t>currency mn</t>
        </is>
      </c>
      <c r="D9" s="18" t="n"/>
      <c r="E9" s="20" t="inlineStr">
        <is>
          <t>Income statement or MD&amp;A</t>
        </is>
      </c>
    </row>
    <row r="10">
      <c r="B10" s="8" t="inlineStr">
        <is>
          <t>Effective tax rate</t>
        </is>
      </c>
      <c r="C10" s="19" t="inlineStr">
        <is>
          <t>decimal e.g. 0.25</t>
        </is>
      </c>
      <c r="D10" s="18" t="n"/>
      <c r="E10" s="20" t="inlineStr">
        <is>
          <t>Tax note</t>
        </is>
      </c>
    </row>
    <row r="11">
      <c r="B11" s="8" t="inlineStr">
        <is>
          <t>Net income</t>
        </is>
      </c>
      <c r="C11" s="19" t="inlineStr">
        <is>
          <t>currency mn</t>
        </is>
      </c>
      <c r="D11" s="18" t="n"/>
      <c r="E11" s="20" t="inlineStr">
        <is>
          <t>Income statement</t>
        </is>
      </c>
    </row>
    <row r="12">
      <c r="B12" s="8" t="inlineStr">
        <is>
          <t>Operating cash flow</t>
        </is>
      </c>
      <c r="C12" s="19" t="inlineStr">
        <is>
          <t>currency mn</t>
        </is>
      </c>
      <c r="D12" s="18" t="n"/>
      <c r="E12" s="20" t="inlineStr">
        <is>
          <t>Cash flow statement</t>
        </is>
      </c>
    </row>
    <row r="13">
      <c r="B13" s="8" t="inlineStr">
        <is>
          <t>Capital expenditure</t>
        </is>
      </c>
      <c r="C13" s="19" t="inlineStr">
        <is>
          <t>currency mn</t>
        </is>
      </c>
      <c r="D13" s="18" t="n"/>
      <c r="E13" s="20" t="inlineStr">
        <is>
          <t>Cash flow statement — investing</t>
        </is>
      </c>
    </row>
    <row r="14">
      <c r="B14" s="8" t="inlineStr">
        <is>
          <t>Total debt</t>
        </is>
      </c>
      <c r="C14" s="19" t="inlineStr">
        <is>
          <t>currency mn</t>
        </is>
      </c>
      <c r="D14" s="18" t="n"/>
      <c r="E14" s="20" t="inlineStr">
        <is>
          <t>Balance sheet</t>
        </is>
      </c>
    </row>
    <row r="15">
      <c r="B15" s="8" t="inlineStr">
        <is>
          <t>Cash &amp; equivalents</t>
        </is>
      </c>
      <c r="C15" s="19" t="inlineStr">
        <is>
          <t>currency mn</t>
        </is>
      </c>
      <c r="D15" s="18" t="n"/>
      <c r="E15" s="20" t="inlineStr">
        <is>
          <t>Balance sheet</t>
        </is>
      </c>
    </row>
    <row r="16">
      <c r="B16" s="8" t="inlineStr">
        <is>
          <t>Total equity</t>
        </is>
      </c>
      <c r="C16" s="19" t="inlineStr">
        <is>
          <t>currency mn</t>
        </is>
      </c>
      <c r="D16" s="18" t="n"/>
      <c r="E16" s="20" t="inlineStr">
        <is>
          <t>Balance sheet</t>
        </is>
      </c>
    </row>
    <row r="17">
      <c r="B17" s="8" t="inlineStr">
        <is>
          <t>Interest expense</t>
        </is>
      </c>
      <c r="C17" s="19" t="inlineStr">
        <is>
          <t>currency mn</t>
        </is>
      </c>
      <c r="D17" s="18" t="n"/>
      <c r="E17" s="20" t="inlineStr">
        <is>
          <t>Finance costs note</t>
        </is>
      </c>
    </row>
    <row r="18">
      <c r="B18" s="8" t="inlineStr">
        <is>
          <t>Market capitalisation</t>
        </is>
      </c>
      <c r="C18" s="19" t="inlineStr">
        <is>
          <t>currency mn</t>
        </is>
      </c>
      <c r="D18" s="18" t="n"/>
      <c r="E18" s="20" t="inlineStr">
        <is>
          <t>Share price x shares out</t>
        </is>
      </c>
    </row>
    <row r="19">
      <c r="B19" s="8" t="inlineStr">
        <is>
          <t>Free float</t>
        </is>
      </c>
      <c r="C19" s="19" t="inlineStr">
        <is>
          <t>%  e.g. 0.35</t>
        </is>
      </c>
      <c r="D19" s="18" t="n"/>
      <c r="E19" s="20" t="inlineStr">
        <is>
          <t>Ownership / shareholding note</t>
        </is>
      </c>
    </row>
    <row r="21">
      <c r="B21" s="5" t="inlineStr">
        <is>
          <t>COMPUTED RATIOS — do not edit, these calculate</t>
        </is>
      </c>
      <c r="C21" s="6" t="inlineStr"/>
      <c r="D21" s="6" t="inlineStr"/>
      <c r="E21" s="6" t="inlineStr"/>
    </row>
    <row r="22">
      <c r="B22" s="8" t="inlineStr">
        <is>
          <t>Revenue 3-yr CAGR</t>
        </is>
      </c>
      <c r="D22" s="21">
        <f>IFERROR((D6/D7)^(1/3)-1,"")</f>
        <v/>
      </c>
    </row>
    <row r="23">
      <c r="B23" s="8" t="inlineStr">
        <is>
          <t>ROIC  (NOPAT / invested capital)</t>
        </is>
      </c>
      <c r="D23" s="21">
        <f>IFERROR(D8*(1-D10)/(D14+D16-D15),"")</f>
        <v/>
      </c>
    </row>
    <row r="24">
      <c r="B24" s="8" t="inlineStr">
        <is>
          <t>FCF conversion  (OCF-capex)/NI</t>
        </is>
      </c>
      <c r="D24" s="21">
        <f>IFERROR((D12-D13)/D11,"")</f>
        <v/>
      </c>
    </row>
    <row r="25">
      <c r="B25" s="8" t="inlineStr">
        <is>
          <t>Net debt / EBITDA</t>
        </is>
      </c>
      <c r="D25" s="22">
        <f>IFERROR((D14-D15)/D9,"")</f>
        <v/>
      </c>
    </row>
    <row r="26">
      <c r="B26" s="8" t="inlineStr">
        <is>
          <t>EBIT interest cover</t>
        </is>
      </c>
      <c r="D26" s="22">
        <f>IFERROR(D8/D17,"")</f>
        <v/>
      </c>
    </row>
    <row r="27">
      <c r="B27" s="8" t="inlineStr">
        <is>
          <t>EV / EBITDA</t>
        </is>
      </c>
      <c r="D27" s="22">
        <f>IFERROR((D18+D14-D15)/D9,"")</f>
        <v/>
      </c>
    </row>
    <row r="29">
      <c r="B29" s="5" t="inlineStr">
        <is>
          <t>BUILDOUT TEST — the four gates, now actually tested</t>
        </is>
      </c>
      <c r="C29" s="6" t="inlineStr"/>
      <c r="D29" s="6" t="inlineStr"/>
      <c r="E29" s="6" t="inlineStr"/>
    </row>
    <row r="30" ht="28" customHeight="1">
      <c r="B30" s="3" t="inlineStr">
        <is>
          <t>B1  Buildout</t>
        </is>
      </c>
      <c r="C30" s="23" t="inlineStr">
        <is>
          <t>&gt;=20% of revenue or 3-yr capex tied to a PUBLISHED capacity target</t>
        </is>
      </c>
      <c r="D30" s="18" t="n"/>
      <c r="E30" s="20" t="inlineStr">
        <is>
          <t>PASS/FAIL + the actual %, and name the programme (e.g. DOE NREP, disclosed fab capex)</t>
        </is>
      </c>
    </row>
    <row r="31" ht="28" customHeight="1">
      <c r="B31" s="3" t="inlineStr">
        <is>
          <t>B2  Liquidity</t>
        </is>
      </c>
      <c r="C31" s="23" t="inlineStr">
        <is>
          <t>90-day ADTV &gt;= PHP30M (PH) / USD5M (offshore); free float &gt;=20%</t>
        </is>
      </c>
      <c r="D31" s="18" t="n"/>
      <c r="E31" s="20" t="inlineStr">
        <is>
          <t>PASS/FAIL + the ADTV figure and its source</t>
        </is>
      </c>
    </row>
    <row r="32" ht="28" customHeight="1">
      <c r="B32" s="3" t="inlineStr">
        <is>
          <t>B3  Solvency</t>
        </is>
      </c>
      <c r="C32" s="23" t="inlineStr">
        <is>
          <t>Net debt/EBITDA &lt;=4.0x OR net cash; if net debt positive, interest cover &gt;=2.5x</t>
        </is>
      </c>
      <c r="D32" s="18" t="n"/>
      <c r="E32" s="20" t="inlineStr">
        <is>
          <t>PASS/FAIL — read it off the computed ratios above</t>
        </is>
      </c>
    </row>
    <row r="33" ht="28" customHeight="1">
      <c r="B33" s="3" t="inlineStr">
        <is>
          <t>B4  Conduct</t>
        </is>
      </c>
      <c r="C33" s="23" t="inlineStr">
        <is>
          <t>No thermal coal &gt;10% of revenue; no UNGC breach; CG disclosure</t>
        </is>
      </c>
      <c r="D33" s="18" t="n"/>
      <c r="E33" s="20" t="inlineStr">
        <is>
          <t>PASS/FAIL + note any controversy found</t>
        </is>
      </c>
    </row>
    <row r="35">
      <c r="B35" s="5" t="inlineStr">
        <is>
          <t>FIRST SCORE — replace the assigned score with a derived one</t>
        </is>
      </c>
      <c r="C35" s="6" t="inlineStr"/>
      <c r="D35" s="6" t="inlineStr"/>
      <c r="E35" s="6" t="inlineStr"/>
    </row>
    <row r="36">
      <c r="B36" s="24" t="inlineStr">
        <is>
          <t>Factor</t>
        </is>
      </c>
      <c r="C36" s="24" t="inlineStr">
        <is>
          <t>Weight</t>
        </is>
      </c>
      <c r="D36" s="24" t="inlineStr">
        <is>
          <t>Score 0-100</t>
        </is>
      </c>
      <c r="E36" s="24" t="inlineStr">
        <is>
          <t>Evidence you are scoring on</t>
        </is>
      </c>
    </row>
    <row r="37" ht="26" customHeight="1">
      <c r="B37" s="8" t="inlineStr">
        <is>
          <t>F — Future Relevance</t>
        </is>
      </c>
      <c r="C37" s="25" t="n">
        <v>0.25</v>
      </c>
      <c r="D37" s="18" t="n"/>
      <c r="E37" s="20" t="inlineStr">
        <is>
          <t>Scale and duration of the buildout; order backlog or contracted capacity</t>
        </is>
      </c>
    </row>
    <row r="38" ht="26" customHeight="1">
      <c r="B38" s="8" t="inlineStr">
        <is>
          <t>I — Impact on Youth</t>
        </is>
      </c>
      <c r="C38" s="25" t="n">
        <v>0.15</v>
      </c>
      <c r="D38" s="18" t="n"/>
      <c r="E38" s="20" t="inlineStr">
        <is>
          <t>Directness of link to a named "first"; segment revenue if disclosed</t>
        </is>
      </c>
    </row>
    <row r="39" ht="26" customHeight="1">
      <c r="B39" s="8" t="inlineStr">
        <is>
          <t>R — Resilient Finances</t>
        </is>
      </c>
      <c r="C39" s="25" t="n">
        <v>0.25</v>
      </c>
      <c r="D39" s="18" t="n"/>
      <c r="E39" s="20" t="inlineStr">
        <is>
          <t>Use the ROIC, FCF conversion and leverage computed above</t>
        </is>
      </c>
    </row>
    <row r="40" ht="26" customHeight="1">
      <c r="B40" s="8" t="inlineStr">
        <is>
          <t>S — Sensible Valuation</t>
        </is>
      </c>
      <c r="C40" s="25" t="n">
        <v>0.2</v>
      </c>
      <c r="D40" s="18" t="n"/>
      <c r="E40" s="20" t="inlineStr">
        <is>
          <t>EV/EBITDA vs the company's own 5-year range</t>
        </is>
      </c>
    </row>
    <row r="41" ht="26" customHeight="1">
      <c r="B41" s="8" t="inlineStr">
        <is>
          <t>T — Trust &amp; Governance</t>
        </is>
      </c>
      <c r="C41" s="25" t="n">
        <v>0.15</v>
      </c>
      <c r="D41" s="18" t="n"/>
      <c r="E41" s="20" t="inlineStr">
        <is>
          <t>Free float, related-party transactions, board independence</t>
        </is>
      </c>
    </row>
    <row r="42">
      <c r="B42" s="3" t="inlineStr">
        <is>
          <t>WEIGHTED CONVICTION SCORE</t>
        </is>
      </c>
      <c r="D42" s="26">
        <f>IFERROR(SUMPRODUCT(C37:C41,D37:D41),"")</f>
        <v/>
      </c>
    </row>
    <row r="44">
      <c r="B44" s="8" t="inlineStr">
        <is>
          <t>Score currently assumed in the engine</t>
        </is>
      </c>
      <c r="D44" s="14" t="n">
        <v>85</v>
      </c>
    </row>
    <row r="45">
      <c r="B45" s="8" t="inlineStr">
        <is>
          <t>Difference</t>
        </is>
      </c>
      <c r="D45" s="16">
        <f>IFERROR(D42-D44,"")</f>
        <v/>
      </c>
    </row>
    <row r="47">
      <c r="B47" s="5" t="inlineStr">
        <is>
          <t>SOURCES USED</t>
        </is>
      </c>
      <c r="C47" s="6" t="inlineStr"/>
      <c r="D47" s="6" t="inlineStr"/>
      <c r="E47" s="6" t="inlineStr"/>
    </row>
    <row r="48">
      <c r="B48" s="8" t="inlineStr">
        <is>
          <t>Source 1</t>
        </is>
      </c>
      <c r="C48" s="18" t="n"/>
      <c r="D48" s="27" t="n"/>
      <c r="E48" s="28" t="n"/>
    </row>
    <row r="49">
      <c r="B49" s="8" t="inlineStr">
        <is>
          <t>Source 2</t>
        </is>
      </c>
      <c r="C49" s="18" t="n"/>
      <c r="D49" s="27" t="n"/>
      <c r="E49" s="28" t="n"/>
    </row>
    <row r="50">
      <c r="B50" s="8" t="inlineStr">
        <is>
          <t>Source 3</t>
        </is>
      </c>
      <c r="C50" s="18" t="n"/>
      <c r="D50" s="27" t="n"/>
      <c r="E50" s="28" t="n"/>
    </row>
    <row r="51">
      <c r="B51" s="8" t="inlineStr">
        <is>
          <t>Source 4</t>
        </is>
      </c>
      <c r="C51" s="18" t="n"/>
      <c r="D51" s="27" t="n"/>
      <c r="E51" s="28" t="n"/>
    </row>
  </sheetData>
  <mergeCells count="4">
    <mergeCell ref="C49:E49"/>
    <mergeCell ref="C48:E48"/>
    <mergeCell ref="C50:E50"/>
    <mergeCell ref="C51:E5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5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5" customWidth="1" min="4" max="4"/>
    <col width="40" customWidth="1" min="5" max="5"/>
    <col width="3" customWidth="1" min="6" max="6"/>
  </cols>
  <sheetData>
    <row r="2">
      <c r="B2" s="1" t="inlineStr">
        <is>
          <t>IHH Healthcare  (Q0F)</t>
        </is>
      </c>
    </row>
    <row r="3">
      <c r="B3" s="2" t="inlineStr">
        <is>
          <t>Priority 6  ·  Fill BLUE cells only  ·  every figure needs a source</t>
        </is>
      </c>
    </row>
    <row r="5">
      <c r="B5" s="5" t="inlineStr">
        <is>
          <t>RAW FIGURES — pull these from the filing</t>
        </is>
      </c>
      <c r="C5" s="6" t="inlineStr"/>
      <c r="D5" s="6" t="inlineStr"/>
      <c r="E5" s="6" t="inlineStr"/>
    </row>
    <row r="6">
      <c r="B6" s="8" t="inlineStr">
        <is>
          <t>Revenue, latest FY</t>
        </is>
      </c>
      <c r="C6" s="19" t="inlineStr">
        <is>
          <t>currency mn</t>
        </is>
      </c>
      <c r="D6" s="18" t="n"/>
      <c r="E6" s="20" t="inlineStr">
        <is>
          <t>Income statement</t>
        </is>
      </c>
    </row>
    <row r="7">
      <c r="B7" s="8" t="inlineStr">
        <is>
          <t>Revenue, 3 years ago</t>
        </is>
      </c>
      <c r="C7" s="19" t="inlineStr">
        <is>
          <t>currency mn</t>
        </is>
      </c>
      <c r="D7" s="18" t="n"/>
      <c r="E7" s="20" t="inlineStr">
        <is>
          <t>Income statement, comparatives</t>
        </is>
      </c>
    </row>
    <row r="8">
      <c r="B8" s="8" t="inlineStr">
        <is>
          <t>EBIT (operating profit)</t>
        </is>
      </c>
      <c r="C8" s="19" t="inlineStr">
        <is>
          <t>currency mn</t>
        </is>
      </c>
      <c r="D8" s="18" t="n"/>
      <c r="E8" s="20" t="inlineStr">
        <is>
          <t>Income statement</t>
        </is>
      </c>
    </row>
    <row r="9">
      <c r="B9" s="8" t="inlineStr">
        <is>
          <t>EBITDA</t>
        </is>
      </c>
      <c r="C9" s="19" t="inlineStr">
        <is>
          <t>currency mn</t>
        </is>
      </c>
      <c r="D9" s="18" t="n"/>
      <c r="E9" s="20" t="inlineStr">
        <is>
          <t>Income statement or MD&amp;A</t>
        </is>
      </c>
    </row>
    <row r="10">
      <c r="B10" s="8" t="inlineStr">
        <is>
          <t>Effective tax rate</t>
        </is>
      </c>
      <c r="C10" s="19" t="inlineStr">
        <is>
          <t>decimal e.g. 0.25</t>
        </is>
      </c>
      <c r="D10" s="18" t="n"/>
      <c r="E10" s="20" t="inlineStr">
        <is>
          <t>Tax note</t>
        </is>
      </c>
    </row>
    <row r="11">
      <c r="B11" s="8" t="inlineStr">
        <is>
          <t>Net income</t>
        </is>
      </c>
      <c r="C11" s="19" t="inlineStr">
        <is>
          <t>currency mn</t>
        </is>
      </c>
      <c r="D11" s="18" t="n"/>
      <c r="E11" s="20" t="inlineStr">
        <is>
          <t>Income statement</t>
        </is>
      </c>
    </row>
    <row r="12">
      <c r="B12" s="8" t="inlineStr">
        <is>
          <t>Operating cash flow</t>
        </is>
      </c>
      <c r="C12" s="19" t="inlineStr">
        <is>
          <t>currency mn</t>
        </is>
      </c>
      <c r="D12" s="18" t="n"/>
      <c r="E12" s="20" t="inlineStr">
        <is>
          <t>Cash flow statement</t>
        </is>
      </c>
    </row>
    <row r="13">
      <c r="B13" s="8" t="inlineStr">
        <is>
          <t>Capital expenditure</t>
        </is>
      </c>
      <c r="C13" s="19" t="inlineStr">
        <is>
          <t>currency mn</t>
        </is>
      </c>
      <c r="D13" s="18" t="n"/>
      <c r="E13" s="20" t="inlineStr">
        <is>
          <t>Cash flow statement — investing</t>
        </is>
      </c>
    </row>
    <row r="14">
      <c r="B14" s="8" t="inlineStr">
        <is>
          <t>Total debt</t>
        </is>
      </c>
      <c r="C14" s="19" t="inlineStr">
        <is>
          <t>currency mn</t>
        </is>
      </c>
      <c r="D14" s="18" t="n"/>
      <c r="E14" s="20" t="inlineStr">
        <is>
          <t>Balance sheet</t>
        </is>
      </c>
    </row>
    <row r="15">
      <c r="B15" s="8" t="inlineStr">
        <is>
          <t>Cash &amp; equivalents</t>
        </is>
      </c>
      <c r="C15" s="19" t="inlineStr">
        <is>
          <t>currency mn</t>
        </is>
      </c>
      <c r="D15" s="18" t="n"/>
      <c r="E15" s="20" t="inlineStr">
        <is>
          <t>Balance sheet</t>
        </is>
      </c>
    </row>
    <row r="16">
      <c r="B16" s="8" t="inlineStr">
        <is>
          <t>Total equity</t>
        </is>
      </c>
      <c r="C16" s="19" t="inlineStr">
        <is>
          <t>currency mn</t>
        </is>
      </c>
      <c r="D16" s="18" t="n"/>
      <c r="E16" s="20" t="inlineStr">
        <is>
          <t>Balance sheet</t>
        </is>
      </c>
    </row>
    <row r="17">
      <c r="B17" s="8" t="inlineStr">
        <is>
          <t>Interest expense</t>
        </is>
      </c>
      <c r="C17" s="19" t="inlineStr">
        <is>
          <t>currency mn</t>
        </is>
      </c>
      <c r="D17" s="18" t="n"/>
      <c r="E17" s="20" t="inlineStr">
        <is>
          <t>Finance costs note</t>
        </is>
      </c>
    </row>
    <row r="18">
      <c r="B18" s="8" t="inlineStr">
        <is>
          <t>Market capitalisation</t>
        </is>
      </c>
      <c r="C18" s="19" t="inlineStr">
        <is>
          <t>currency mn</t>
        </is>
      </c>
      <c r="D18" s="18" t="n"/>
      <c r="E18" s="20" t="inlineStr">
        <is>
          <t>Share price x shares out</t>
        </is>
      </c>
    </row>
    <row r="19">
      <c r="B19" s="8" t="inlineStr">
        <is>
          <t>Free float</t>
        </is>
      </c>
      <c r="C19" s="19" t="inlineStr">
        <is>
          <t>%  e.g. 0.35</t>
        </is>
      </c>
      <c r="D19" s="18" t="n"/>
      <c r="E19" s="20" t="inlineStr">
        <is>
          <t>Ownership / shareholding note</t>
        </is>
      </c>
    </row>
    <row r="21">
      <c r="B21" s="5" t="inlineStr">
        <is>
          <t>COMPUTED RATIOS — do not edit, these calculate</t>
        </is>
      </c>
      <c r="C21" s="6" t="inlineStr"/>
      <c r="D21" s="6" t="inlineStr"/>
      <c r="E21" s="6" t="inlineStr"/>
    </row>
    <row r="22">
      <c r="B22" s="8" t="inlineStr">
        <is>
          <t>Revenue 3-yr CAGR</t>
        </is>
      </c>
      <c r="D22" s="21">
        <f>IFERROR((D6/D7)^(1/3)-1,"")</f>
        <v/>
      </c>
    </row>
    <row r="23">
      <c r="B23" s="8" t="inlineStr">
        <is>
          <t>ROIC  (NOPAT / invested capital)</t>
        </is>
      </c>
      <c r="D23" s="21">
        <f>IFERROR(D8*(1-D10)/(D14+D16-D15),"")</f>
        <v/>
      </c>
    </row>
    <row r="24">
      <c r="B24" s="8" t="inlineStr">
        <is>
          <t>FCF conversion  (OCF-capex)/NI</t>
        </is>
      </c>
      <c r="D24" s="21">
        <f>IFERROR((D12-D13)/D11,"")</f>
        <v/>
      </c>
    </row>
    <row r="25">
      <c r="B25" s="8" t="inlineStr">
        <is>
          <t>Net debt / EBITDA</t>
        </is>
      </c>
      <c r="D25" s="22">
        <f>IFERROR((D14-D15)/D9,"")</f>
        <v/>
      </c>
    </row>
    <row r="26">
      <c r="B26" s="8" t="inlineStr">
        <is>
          <t>EBIT interest cover</t>
        </is>
      </c>
      <c r="D26" s="22">
        <f>IFERROR(D8/D17,"")</f>
        <v/>
      </c>
    </row>
    <row r="27">
      <c r="B27" s="8" t="inlineStr">
        <is>
          <t>EV / EBITDA</t>
        </is>
      </c>
      <c r="D27" s="22">
        <f>IFERROR((D18+D14-D15)/D9,"")</f>
        <v/>
      </c>
    </row>
    <row r="29">
      <c r="B29" s="5" t="inlineStr">
        <is>
          <t>BUILDOUT TEST — the four gates, now actually tested</t>
        </is>
      </c>
      <c r="C29" s="6" t="inlineStr"/>
      <c r="D29" s="6" t="inlineStr"/>
      <c r="E29" s="6" t="inlineStr"/>
    </row>
    <row r="30" ht="28" customHeight="1">
      <c r="B30" s="3" t="inlineStr">
        <is>
          <t>B1  Buildout</t>
        </is>
      </c>
      <c r="C30" s="23" t="inlineStr">
        <is>
          <t>&gt;=20% of revenue or 3-yr capex tied to a PUBLISHED capacity target</t>
        </is>
      </c>
      <c r="D30" s="18" t="n"/>
      <c r="E30" s="20" t="inlineStr">
        <is>
          <t>PASS/FAIL + the actual %, and name the programme (e.g. DOE NREP, disclosed fab capex)</t>
        </is>
      </c>
    </row>
    <row r="31" ht="28" customHeight="1">
      <c r="B31" s="3" t="inlineStr">
        <is>
          <t>B2  Liquidity</t>
        </is>
      </c>
      <c r="C31" s="23" t="inlineStr">
        <is>
          <t>90-day ADTV &gt;= PHP30M (PH) / USD5M (offshore); free float &gt;=20%</t>
        </is>
      </c>
      <c r="D31" s="18" t="n"/>
      <c r="E31" s="20" t="inlineStr">
        <is>
          <t>PASS/FAIL + the ADTV figure and its source</t>
        </is>
      </c>
    </row>
    <row r="32" ht="28" customHeight="1">
      <c r="B32" s="3" t="inlineStr">
        <is>
          <t>B3  Solvency</t>
        </is>
      </c>
      <c r="C32" s="23" t="inlineStr">
        <is>
          <t>Net debt/EBITDA &lt;=4.0x OR net cash; if net debt positive, interest cover &gt;=2.5x</t>
        </is>
      </c>
      <c r="D32" s="18" t="n"/>
      <c r="E32" s="20" t="inlineStr">
        <is>
          <t>PASS/FAIL — read it off the computed ratios above</t>
        </is>
      </c>
    </row>
    <row r="33" ht="28" customHeight="1">
      <c r="B33" s="3" t="inlineStr">
        <is>
          <t>B4  Conduct</t>
        </is>
      </c>
      <c r="C33" s="23" t="inlineStr">
        <is>
          <t>No thermal coal &gt;10% of revenue; no UNGC breach; CG disclosure</t>
        </is>
      </c>
      <c r="D33" s="18" t="n"/>
      <c r="E33" s="20" t="inlineStr">
        <is>
          <t>PASS/FAIL + note any controversy found</t>
        </is>
      </c>
    </row>
    <row r="35">
      <c r="B35" s="5" t="inlineStr">
        <is>
          <t>FIRST SCORE — replace the assigned score with a derived one</t>
        </is>
      </c>
      <c r="C35" s="6" t="inlineStr"/>
      <c r="D35" s="6" t="inlineStr"/>
      <c r="E35" s="6" t="inlineStr"/>
    </row>
    <row r="36">
      <c r="B36" s="24" t="inlineStr">
        <is>
          <t>Factor</t>
        </is>
      </c>
      <c r="C36" s="24" t="inlineStr">
        <is>
          <t>Weight</t>
        </is>
      </c>
      <c r="D36" s="24" t="inlineStr">
        <is>
          <t>Score 0-100</t>
        </is>
      </c>
      <c r="E36" s="24" t="inlineStr">
        <is>
          <t>Evidence you are scoring on</t>
        </is>
      </c>
    </row>
    <row r="37" ht="26" customHeight="1">
      <c r="B37" s="8" t="inlineStr">
        <is>
          <t>F — Future Relevance</t>
        </is>
      </c>
      <c r="C37" s="25" t="n">
        <v>0.25</v>
      </c>
      <c r="D37" s="18" t="n"/>
      <c r="E37" s="20" t="inlineStr">
        <is>
          <t>Scale and duration of the buildout; order backlog or contracted capacity</t>
        </is>
      </c>
    </row>
    <row r="38" ht="26" customHeight="1">
      <c r="B38" s="8" t="inlineStr">
        <is>
          <t>I — Impact on Youth</t>
        </is>
      </c>
      <c r="C38" s="25" t="n">
        <v>0.15</v>
      </c>
      <c r="D38" s="18" t="n"/>
      <c r="E38" s="20" t="inlineStr">
        <is>
          <t>Directness of link to a named "first"; segment revenue if disclosed</t>
        </is>
      </c>
    </row>
    <row r="39" ht="26" customHeight="1">
      <c r="B39" s="8" t="inlineStr">
        <is>
          <t>R — Resilient Finances</t>
        </is>
      </c>
      <c r="C39" s="25" t="n">
        <v>0.25</v>
      </c>
      <c r="D39" s="18" t="n"/>
      <c r="E39" s="20" t="inlineStr">
        <is>
          <t>Use the ROIC, FCF conversion and leverage computed above</t>
        </is>
      </c>
    </row>
    <row r="40" ht="26" customHeight="1">
      <c r="B40" s="8" t="inlineStr">
        <is>
          <t>S — Sensible Valuation</t>
        </is>
      </c>
      <c r="C40" s="25" t="n">
        <v>0.2</v>
      </c>
      <c r="D40" s="18" t="n"/>
      <c r="E40" s="20" t="inlineStr">
        <is>
          <t>EV/EBITDA vs the company's own 5-year range</t>
        </is>
      </c>
    </row>
    <row r="41" ht="26" customHeight="1">
      <c r="B41" s="8" t="inlineStr">
        <is>
          <t>T — Trust &amp; Governance</t>
        </is>
      </c>
      <c r="C41" s="25" t="n">
        <v>0.15</v>
      </c>
      <c r="D41" s="18" t="n"/>
      <c r="E41" s="20" t="inlineStr">
        <is>
          <t>Free float, related-party transactions, board independence</t>
        </is>
      </c>
    </row>
    <row r="42">
      <c r="B42" s="3" t="inlineStr">
        <is>
          <t>WEIGHTED CONVICTION SCORE</t>
        </is>
      </c>
      <c r="D42" s="26">
        <f>IFERROR(SUMPRODUCT(C37:C41,D37:D41),"")</f>
        <v/>
      </c>
    </row>
    <row r="44">
      <c r="B44" s="8" t="inlineStr">
        <is>
          <t>Score currently assumed in the engine</t>
        </is>
      </c>
      <c r="D44" s="14" t="n">
        <v>75</v>
      </c>
    </row>
    <row r="45">
      <c r="B45" s="8" t="inlineStr">
        <is>
          <t>Difference</t>
        </is>
      </c>
      <c r="D45" s="16">
        <f>IFERROR(D42-D44,"")</f>
        <v/>
      </c>
    </row>
    <row r="47">
      <c r="B47" s="5" t="inlineStr">
        <is>
          <t>SOURCES USED</t>
        </is>
      </c>
      <c r="C47" s="6" t="inlineStr"/>
      <c r="D47" s="6" t="inlineStr"/>
      <c r="E47" s="6" t="inlineStr"/>
    </row>
    <row r="48">
      <c r="B48" s="8" t="inlineStr">
        <is>
          <t>Source 1</t>
        </is>
      </c>
      <c r="C48" s="18" t="n"/>
      <c r="D48" s="27" t="n"/>
      <c r="E48" s="28" t="n"/>
    </row>
    <row r="49">
      <c r="B49" s="8" t="inlineStr">
        <is>
          <t>Source 2</t>
        </is>
      </c>
      <c r="C49" s="18" t="n"/>
      <c r="D49" s="27" t="n"/>
      <c r="E49" s="28" t="n"/>
    </row>
    <row r="50">
      <c r="B50" s="8" t="inlineStr">
        <is>
          <t>Source 3</t>
        </is>
      </c>
      <c r="C50" s="18" t="n"/>
      <c r="D50" s="27" t="n"/>
      <c r="E50" s="28" t="n"/>
    </row>
    <row r="51">
      <c r="B51" s="8" t="inlineStr">
        <is>
          <t>Source 4</t>
        </is>
      </c>
      <c r="C51" s="18" t="n"/>
      <c r="D51" s="27" t="n"/>
      <c r="E51" s="28" t="n"/>
    </row>
  </sheetData>
  <mergeCells count="4">
    <mergeCell ref="C49:E49"/>
    <mergeCell ref="C48:E48"/>
    <mergeCell ref="C50:E50"/>
    <mergeCell ref="C51:E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5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5" customWidth="1" min="4" max="4"/>
    <col width="40" customWidth="1" min="5" max="5"/>
    <col width="3" customWidth="1" min="6" max="6"/>
  </cols>
  <sheetData>
    <row r="2">
      <c r="B2" s="1" t="inlineStr">
        <is>
          <t>Schneider Electric  (SU)</t>
        </is>
      </c>
    </row>
    <row r="3">
      <c r="B3" s="2" t="inlineStr">
        <is>
          <t>Priority 7  ·  Fill BLUE cells only  ·  every figure needs a source</t>
        </is>
      </c>
    </row>
    <row r="5">
      <c r="B5" s="5" t="inlineStr">
        <is>
          <t>RAW FIGURES — pull these from the filing</t>
        </is>
      </c>
      <c r="C5" s="6" t="inlineStr"/>
      <c r="D5" s="6" t="inlineStr"/>
      <c r="E5" s="6" t="inlineStr"/>
    </row>
    <row r="6">
      <c r="B6" s="8" t="inlineStr">
        <is>
          <t>Revenue, latest FY</t>
        </is>
      </c>
      <c r="C6" s="19" t="inlineStr">
        <is>
          <t>currency mn</t>
        </is>
      </c>
      <c r="D6" s="18" t="n"/>
      <c r="E6" s="20" t="inlineStr">
        <is>
          <t>Income statement</t>
        </is>
      </c>
    </row>
    <row r="7">
      <c r="B7" s="8" t="inlineStr">
        <is>
          <t>Revenue, 3 years ago</t>
        </is>
      </c>
      <c r="C7" s="19" t="inlineStr">
        <is>
          <t>currency mn</t>
        </is>
      </c>
      <c r="D7" s="18" t="n"/>
      <c r="E7" s="20" t="inlineStr">
        <is>
          <t>Income statement, comparatives</t>
        </is>
      </c>
    </row>
    <row r="8">
      <c r="B8" s="8" t="inlineStr">
        <is>
          <t>EBIT (operating profit)</t>
        </is>
      </c>
      <c r="C8" s="19" t="inlineStr">
        <is>
          <t>currency mn</t>
        </is>
      </c>
      <c r="D8" s="18" t="n"/>
      <c r="E8" s="20" t="inlineStr">
        <is>
          <t>Income statement</t>
        </is>
      </c>
    </row>
    <row r="9">
      <c r="B9" s="8" t="inlineStr">
        <is>
          <t>EBITDA</t>
        </is>
      </c>
      <c r="C9" s="19" t="inlineStr">
        <is>
          <t>currency mn</t>
        </is>
      </c>
      <c r="D9" s="18" t="n"/>
      <c r="E9" s="20" t="inlineStr">
        <is>
          <t>Income statement or MD&amp;A</t>
        </is>
      </c>
    </row>
    <row r="10">
      <c r="B10" s="8" t="inlineStr">
        <is>
          <t>Effective tax rate</t>
        </is>
      </c>
      <c r="C10" s="19" t="inlineStr">
        <is>
          <t>decimal e.g. 0.25</t>
        </is>
      </c>
      <c r="D10" s="18" t="n"/>
      <c r="E10" s="20" t="inlineStr">
        <is>
          <t>Tax note</t>
        </is>
      </c>
    </row>
    <row r="11">
      <c r="B11" s="8" t="inlineStr">
        <is>
          <t>Net income</t>
        </is>
      </c>
      <c r="C11" s="19" t="inlineStr">
        <is>
          <t>currency mn</t>
        </is>
      </c>
      <c r="D11" s="18" t="n"/>
      <c r="E11" s="20" t="inlineStr">
        <is>
          <t>Income statement</t>
        </is>
      </c>
    </row>
    <row r="12">
      <c r="B12" s="8" t="inlineStr">
        <is>
          <t>Operating cash flow</t>
        </is>
      </c>
      <c r="C12" s="19" t="inlineStr">
        <is>
          <t>currency mn</t>
        </is>
      </c>
      <c r="D12" s="18" t="n"/>
      <c r="E12" s="20" t="inlineStr">
        <is>
          <t>Cash flow statement</t>
        </is>
      </c>
    </row>
    <row r="13">
      <c r="B13" s="8" t="inlineStr">
        <is>
          <t>Capital expenditure</t>
        </is>
      </c>
      <c r="C13" s="19" t="inlineStr">
        <is>
          <t>currency mn</t>
        </is>
      </c>
      <c r="D13" s="18" t="n"/>
      <c r="E13" s="20" t="inlineStr">
        <is>
          <t>Cash flow statement — investing</t>
        </is>
      </c>
    </row>
    <row r="14">
      <c r="B14" s="8" t="inlineStr">
        <is>
          <t>Total debt</t>
        </is>
      </c>
      <c r="C14" s="19" t="inlineStr">
        <is>
          <t>currency mn</t>
        </is>
      </c>
      <c r="D14" s="18" t="n"/>
      <c r="E14" s="20" t="inlineStr">
        <is>
          <t>Balance sheet</t>
        </is>
      </c>
    </row>
    <row r="15">
      <c r="B15" s="8" t="inlineStr">
        <is>
          <t>Cash &amp; equivalents</t>
        </is>
      </c>
      <c r="C15" s="19" t="inlineStr">
        <is>
          <t>currency mn</t>
        </is>
      </c>
      <c r="D15" s="18" t="n"/>
      <c r="E15" s="20" t="inlineStr">
        <is>
          <t>Balance sheet</t>
        </is>
      </c>
    </row>
    <row r="16">
      <c r="B16" s="8" t="inlineStr">
        <is>
          <t>Total equity</t>
        </is>
      </c>
      <c r="C16" s="19" t="inlineStr">
        <is>
          <t>currency mn</t>
        </is>
      </c>
      <c r="D16" s="18" t="n"/>
      <c r="E16" s="20" t="inlineStr">
        <is>
          <t>Balance sheet</t>
        </is>
      </c>
    </row>
    <row r="17">
      <c r="B17" s="8" t="inlineStr">
        <is>
          <t>Interest expense</t>
        </is>
      </c>
      <c r="C17" s="19" t="inlineStr">
        <is>
          <t>currency mn</t>
        </is>
      </c>
      <c r="D17" s="18" t="n"/>
      <c r="E17" s="20" t="inlineStr">
        <is>
          <t>Finance costs note</t>
        </is>
      </c>
    </row>
    <row r="18">
      <c r="B18" s="8" t="inlineStr">
        <is>
          <t>Market capitalisation</t>
        </is>
      </c>
      <c r="C18" s="19" t="inlineStr">
        <is>
          <t>currency mn</t>
        </is>
      </c>
      <c r="D18" s="18" t="n"/>
      <c r="E18" s="20" t="inlineStr">
        <is>
          <t>Share price x shares out</t>
        </is>
      </c>
    </row>
    <row r="19">
      <c r="B19" s="8" t="inlineStr">
        <is>
          <t>Free float</t>
        </is>
      </c>
      <c r="C19" s="19" t="inlineStr">
        <is>
          <t>%  e.g. 0.35</t>
        </is>
      </c>
      <c r="D19" s="18" t="n"/>
      <c r="E19" s="20" t="inlineStr">
        <is>
          <t>Ownership / shareholding note</t>
        </is>
      </c>
    </row>
    <row r="21">
      <c r="B21" s="5" t="inlineStr">
        <is>
          <t>COMPUTED RATIOS — do not edit, these calculate</t>
        </is>
      </c>
      <c r="C21" s="6" t="inlineStr"/>
      <c r="D21" s="6" t="inlineStr"/>
      <c r="E21" s="6" t="inlineStr"/>
    </row>
    <row r="22">
      <c r="B22" s="8" t="inlineStr">
        <is>
          <t>Revenue 3-yr CAGR</t>
        </is>
      </c>
      <c r="D22" s="21">
        <f>IFERROR((D6/D7)^(1/3)-1,"")</f>
        <v/>
      </c>
    </row>
    <row r="23">
      <c r="B23" s="8" t="inlineStr">
        <is>
          <t>ROIC  (NOPAT / invested capital)</t>
        </is>
      </c>
      <c r="D23" s="21">
        <f>IFERROR(D8*(1-D10)/(D14+D16-D15),"")</f>
        <v/>
      </c>
    </row>
    <row r="24">
      <c r="B24" s="8" t="inlineStr">
        <is>
          <t>FCF conversion  (OCF-capex)/NI</t>
        </is>
      </c>
      <c r="D24" s="21">
        <f>IFERROR((D12-D13)/D11,"")</f>
        <v/>
      </c>
    </row>
    <row r="25">
      <c r="B25" s="8" t="inlineStr">
        <is>
          <t>Net debt / EBITDA</t>
        </is>
      </c>
      <c r="D25" s="22">
        <f>IFERROR((D14-D15)/D9,"")</f>
        <v/>
      </c>
    </row>
    <row r="26">
      <c r="B26" s="8" t="inlineStr">
        <is>
          <t>EBIT interest cover</t>
        </is>
      </c>
      <c r="D26" s="22">
        <f>IFERROR(D8/D17,"")</f>
        <v/>
      </c>
    </row>
    <row r="27">
      <c r="B27" s="8" t="inlineStr">
        <is>
          <t>EV / EBITDA</t>
        </is>
      </c>
      <c r="D27" s="22">
        <f>IFERROR((D18+D14-D15)/D9,"")</f>
        <v/>
      </c>
    </row>
    <row r="29">
      <c r="B29" s="5" t="inlineStr">
        <is>
          <t>BUILDOUT TEST — the four gates, now actually tested</t>
        </is>
      </c>
      <c r="C29" s="6" t="inlineStr"/>
      <c r="D29" s="6" t="inlineStr"/>
      <c r="E29" s="6" t="inlineStr"/>
    </row>
    <row r="30" ht="28" customHeight="1">
      <c r="B30" s="3" t="inlineStr">
        <is>
          <t>B1  Buildout</t>
        </is>
      </c>
      <c r="C30" s="23" t="inlineStr">
        <is>
          <t>&gt;=20% of revenue or 3-yr capex tied to a PUBLISHED capacity target</t>
        </is>
      </c>
      <c r="D30" s="18" t="n"/>
      <c r="E30" s="20" t="inlineStr">
        <is>
          <t>PASS/FAIL + the actual %, and name the programme (e.g. DOE NREP, disclosed fab capex)</t>
        </is>
      </c>
    </row>
    <row r="31" ht="28" customHeight="1">
      <c r="B31" s="3" t="inlineStr">
        <is>
          <t>B2  Liquidity</t>
        </is>
      </c>
      <c r="C31" s="23" t="inlineStr">
        <is>
          <t>90-day ADTV &gt;= PHP30M (PH) / USD5M (offshore); free float &gt;=20%</t>
        </is>
      </c>
      <c r="D31" s="18" t="n"/>
      <c r="E31" s="20" t="inlineStr">
        <is>
          <t>PASS/FAIL + the ADTV figure and its source</t>
        </is>
      </c>
    </row>
    <row r="32" ht="28" customHeight="1">
      <c r="B32" s="3" t="inlineStr">
        <is>
          <t>B3  Solvency</t>
        </is>
      </c>
      <c r="C32" s="23" t="inlineStr">
        <is>
          <t>Net debt/EBITDA &lt;=4.0x OR net cash; if net debt positive, interest cover &gt;=2.5x</t>
        </is>
      </c>
      <c r="D32" s="18" t="n"/>
      <c r="E32" s="20" t="inlineStr">
        <is>
          <t>PASS/FAIL — read it off the computed ratios above</t>
        </is>
      </c>
    </row>
    <row r="33" ht="28" customHeight="1">
      <c r="B33" s="3" t="inlineStr">
        <is>
          <t>B4  Conduct</t>
        </is>
      </c>
      <c r="C33" s="23" t="inlineStr">
        <is>
          <t>No thermal coal &gt;10% of revenue; no UNGC breach; CG disclosure</t>
        </is>
      </c>
      <c r="D33" s="18" t="n"/>
      <c r="E33" s="20" t="inlineStr">
        <is>
          <t>PASS/FAIL + note any controversy found</t>
        </is>
      </c>
    </row>
    <row r="35">
      <c r="B35" s="5" t="inlineStr">
        <is>
          <t>FIRST SCORE — replace the assigned score with a derived one</t>
        </is>
      </c>
      <c r="C35" s="6" t="inlineStr"/>
      <c r="D35" s="6" t="inlineStr"/>
      <c r="E35" s="6" t="inlineStr"/>
    </row>
    <row r="36">
      <c r="B36" s="24" t="inlineStr">
        <is>
          <t>Factor</t>
        </is>
      </c>
      <c r="C36" s="24" t="inlineStr">
        <is>
          <t>Weight</t>
        </is>
      </c>
      <c r="D36" s="24" t="inlineStr">
        <is>
          <t>Score 0-100</t>
        </is>
      </c>
      <c r="E36" s="24" t="inlineStr">
        <is>
          <t>Evidence you are scoring on</t>
        </is>
      </c>
    </row>
    <row r="37" ht="26" customHeight="1">
      <c r="B37" s="8" t="inlineStr">
        <is>
          <t>F — Future Relevance</t>
        </is>
      </c>
      <c r="C37" s="25" t="n">
        <v>0.25</v>
      </c>
      <c r="D37" s="18" t="n"/>
      <c r="E37" s="20" t="inlineStr">
        <is>
          <t>Scale and duration of the buildout; order backlog or contracted capacity</t>
        </is>
      </c>
    </row>
    <row r="38" ht="26" customHeight="1">
      <c r="B38" s="8" t="inlineStr">
        <is>
          <t>I — Impact on Youth</t>
        </is>
      </c>
      <c r="C38" s="25" t="n">
        <v>0.15</v>
      </c>
      <c r="D38" s="18" t="n"/>
      <c r="E38" s="20" t="inlineStr">
        <is>
          <t>Directness of link to a named "first"; segment revenue if disclosed</t>
        </is>
      </c>
    </row>
    <row r="39" ht="26" customHeight="1">
      <c r="B39" s="8" t="inlineStr">
        <is>
          <t>R — Resilient Finances</t>
        </is>
      </c>
      <c r="C39" s="25" t="n">
        <v>0.25</v>
      </c>
      <c r="D39" s="18" t="n"/>
      <c r="E39" s="20" t="inlineStr">
        <is>
          <t>Use the ROIC, FCF conversion and leverage computed above</t>
        </is>
      </c>
    </row>
    <row r="40" ht="26" customHeight="1">
      <c r="B40" s="8" t="inlineStr">
        <is>
          <t>S — Sensible Valuation</t>
        </is>
      </c>
      <c r="C40" s="25" t="n">
        <v>0.2</v>
      </c>
      <c r="D40" s="18" t="n"/>
      <c r="E40" s="20" t="inlineStr">
        <is>
          <t>EV/EBITDA vs the company's own 5-year range</t>
        </is>
      </c>
    </row>
    <row r="41" ht="26" customHeight="1">
      <c r="B41" s="8" t="inlineStr">
        <is>
          <t>T — Trust &amp; Governance</t>
        </is>
      </c>
      <c r="C41" s="25" t="n">
        <v>0.15</v>
      </c>
      <c r="D41" s="18" t="n"/>
      <c r="E41" s="20" t="inlineStr">
        <is>
          <t>Free float, related-party transactions, board independence</t>
        </is>
      </c>
    </row>
    <row r="42">
      <c r="B42" s="3" t="inlineStr">
        <is>
          <t>WEIGHTED CONVICTION SCORE</t>
        </is>
      </c>
      <c r="D42" s="26">
        <f>IFERROR(SUMPRODUCT(C37:C41,D37:D41),"")</f>
        <v/>
      </c>
    </row>
    <row r="44">
      <c r="B44" s="8" t="inlineStr">
        <is>
          <t>Score currently assumed in the engine</t>
        </is>
      </c>
      <c r="D44" s="14" t="n">
        <v>82</v>
      </c>
    </row>
    <row r="45">
      <c r="B45" s="8" t="inlineStr">
        <is>
          <t>Difference</t>
        </is>
      </c>
      <c r="D45" s="16">
        <f>IFERROR(D42-D44,"")</f>
        <v/>
      </c>
    </row>
    <row r="47">
      <c r="B47" s="5" t="inlineStr">
        <is>
          <t>SOURCES USED</t>
        </is>
      </c>
      <c r="C47" s="6" t="inlineStr"/>
      <c r="D47" s="6" t="inlineStr"/>
      <c r="E47" s="6" t="inlineStr"/>
    </row>
    <row r="48">
      <c r="B48" s="8" t="inlineStr">
        <is>
          <t>Source 1</t>
        </is>
      </c>
      <c r="C48" s="18" t="n"/>
      <c r="D48" s="27" t="n"/>
      <c r="E48" s="28" t="n"/>
    </row>
    <row r="49">
      <c r="B49" s="8" t="inlineStr">
        <is>
          <t>Source 2</t>
        </is>
      </c>
      <c r="C49" s="18" t="n"/>
      <c r="D49" s="27" t="n"/>
      <c r="E49" s="28" t="n"/>
    </row>
    <row r="50">
      <c r="B50" s="8" t="inlineStr">
        <is>
          <t>Source 3</t>
        </is>
      </c>
      <c r="C50" s="18" t="n"/>
      <c r="D50" s="27" t="n"/>
      <c r="E50" s="28" t="n"/>
    </row>
    <row r="51">
      <c r="B51" s="8" t="inlineStr">
        <is>
          <t>Source 4</t>
        </is>
      </c>
      <c r="C51" s="18" t="n"/>
      <c r="D51" s="27" t="n"/>
      <c r="E51" s="28" t="n"/>
    </row>
  </sheetData>
  <mergeCells count="4">
    <mergeCell ref="C49:E49"/>
    <mergeCell ref="C48:E48"/>
    <mergeCell ref="C50:E50"/>
    <mergeCell ref="C51:E5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5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5" customWidth="1" min="4" max="4"/>
    <col width="40" customWidth="1" min="5" max="5"/>
    <col width="3" customWidth="1" min="6" max="6"/>
  </cols>
  <sheetData>
    <row r="2">
      <c r="B2" s="1" t="inlineStr">
        <is>
          <t>Taiwan Semiconductor  (TSM)</t>
        </is>
      </c>
    </row>
    <row r="3">
      <c r="B3" s="2" t="inlineStr">
        <is>
          <t>Priority 8  ·  Fill BLUE cells only  ·  every figure needs a source</t>
        </is>
      </c>
    </row>
    <row r="5">
      <c r="B5" s="5" t="inlineStr">
        <is>
          <t>RAW FIGURES — pull these from the filing</t>
        </is>
      </c>
      <c r="C5" s="6" t="inlineStr"/>
      <c r="D5" s="6" t="inlineStr"/>
      <c r="E5" s="6" t="inlineStr"/>
    </row>
    <row r="6">
      <c r="B6" s="8" t="inlineStr">
        <is>
          <t>Revenue, latest FY</t>
        </is>
      </c>
      <c r="C6" s="19" t="inlineStr">
        <is>
          <t>currency mn</t>
        </is>
      </c>
      <c r="D6" s="18" t="n"/>
      <c r="E6" s="20" t="inlineStr">
        <is>
          <t>Income statement</t>
        </is>
      </c>
    </row>
    <row r="7">
      <c r="B7" s="8" t="inlineStr">
        <is>
          <t>Revenue, 3 years ago</t>
        </is>
      </c>
      <c r="C7" s="19" t="inlineStr">
        <is>
          <t>currency mn</t>
        </is>
      </c>
      <c r="D7" s="18" t="n"/>
      <c r="E7" s="20" t="inlineStr">
        <is>
          <t>Income statement, comparatives</t>
        </is>
      </c>
    </row>
    <row r="8">
      <c r="B8" s="8" t="inlineStr">
        <is>
          <t>EBIT (operating profit)</t>
        </is>
      </c>
      <c r="C8" s="19" t="inlineStr">
        <is>
          <t>currency mn</t>
        </is>
      </c>
      <c r="D8" s="18" t="n"/>
      <c r="E8" s="20" t="inlineStr">
        <is>
          <t>Income statement</t>
        </is>
      </c>
    </row>
    <row r="9">
      <c r="B9" s="8" t="inlineStr">
        <is>
          <t>EBITDA</t>
        </is>
      </c>
      <c r="C9" s="19" t="inlineStr">
        <is>
          <t>currency mn</t>
        </is>
      </c>
      <c r="D9" s="18" t="n"/>
      <c r="E9" s="20" t="inlineStr">
        <is>
          <t>Income statement or MD&amp;A</t>
        </is>
      </c>
    </row>
    <row r="10">
      <c r="B10" s="8" t="inlineStr">
        <is>
          <t>Effective tax rate</t>
        </is>
      </c>
      <c r="C10" s="19" t="inlineStr">
        <is>
          <t>decimal e.g. 0.25</t>
        </is>
      </c>
      <c r="D10" s="18" t="n"/>
      <c r="E10" s="20" t="inlineStr">
        <is>
          <t>Tax note</t>
        </is>
      </c>
    </row>
    <row r="11">
      <c r="B11" s="8" t="inlineStr">
        <is>
          <t>Net income</t>
        </is>
      </c>
      <c r="C11" s="19" t="inlineStr">
        <is>
          <t>currency mn</t>
        </is>
      </c>
      <c r="D11" s="18" t="n"/>
      <c r="E11" s="20" t="inlineStr">
        <is>
          <t>Income statement</t>
        </is>
      </c>
    </row>
    <row r="12">
      <c r="B12" s="8" t="inlineStr">
        <is>
          <t>Operating cash flow</t>
        </is>
      </c>
      <c r="C12" s="19" t="inlineStr">
        <is>
          <t>currency mn</t>
        </is>
      </c>
      <c r="D12" s="18" t="n"/>
      <c r="E12" s="20" t="inlineStr">
        <is>
          <t>Cash flow statement</t>
        </is>
      </c>
    </row>
    <row r="13">
      <c r="B13" s="8" t="inlineStr">
        <is>
          <t>Capital expenditure</t>
        </is>
      </c>
      <c r="C13" s="19" t="inlineStr">
        <is>
          <t>currency mn</t>
        </is>
      </c>
      <c r="D13" s="18" t="n"/>
      <c r="E13" s="20" t="inlineStr">
        <is>
          <t>Cash flow statement — investing</t>
        </is>
      </c>
    </row>
    <row r="14">
      <c r="B14" s="8" t="inlineStr">
        <is>
          <t>Total debt</t>
        </is>
      </c>
      <c r="C14" s="19" t="inlineStr">
        <is>
          <t>currency mn</t>
        </is>
      </c>
      <c r="D14" s="18" t="n"/>
      <c r="E14" s="20" t="inlineStr">
        <is>
          <t>Balance sheet</t>
        </is>
      </c>
    </row>
    <row r="15">
      <c r="B15" s="8" t="inlineStr">
        <is>
          <t>Cash &amp; equivalents</t>
        </is>
      </c>
      <c r="C15" s="19" t="inlineStr">
        <is>
          <t>currency mn</t>
        </is>
      </c>
      <c r="D15" s="18" t="n"/>
      <c r="E15" s="20" t="inlineStr">
        <is>
          <t>Balance sheet</t>
        </is>
      </c>
    </row>
    <row r="16">
      <c r="B16" s="8" t="inlineStr">
        <is>
          <t>Total equity</t>
        </is>
      </c>
      <c r="C16" s="19" t="inlineStr">
        <is>
          <t>currency mn</t>
        </is>
      </c>
      <c r="D16" s="18" t="n"/>
      <c r="E16" s="20" t="inlineStr">
        <is>
          <t>Balance sheet</t>
        </is>
      </c>
    </row>
    <row r="17">
      <c r="B17" s="8" t="inlineStr">
        <is>
          <t>Interest expense</t>
        </is>
      </c>
      <c r="C17" s="19" t="inlineStr">
        <is>
          <t>currency mn</t>
        </is>
      </c>
      <c r="D17" s="18" t="n"/>
      <c r="E17" s="20" t="inlineStr">
        <is>
          <t>Finance costs note</t>
        </is>
      </c>
    </row>
    <row r="18">
      <c r="B18" s="8" t="inlineStr">
        <is>
          <t>Market capitalisation</t>
        </is>
      </c>
      <c r="C18" s="19" t="inlineStr">
        <is>
          <t>currency mn</t>
        </is>
      </c>
      <c r="D18" s="18" t="n"/>
      <c r="E18" s="20" t="inlineStr">
        <is>
          <t>Share price x shares out</t>
        </is>
      </c>
    </row>
    <row r="19">
      <c r="B19" s="8" t="inlineStr">
        <is>
          <t>Free float</t>
        </is>
      </c>
      <c r="C19" s="19" t="inlineStr">
        <is>
          <t>%  e.g. 0.35</t>
        </is>
      </c>
      <c r="D19" s="18" t="n"/>
      <c r="E19" s="20" t="inlineStr">
        <is>
          <t>Ownership / shareholding note</t>
        </is>
      </c>
    </row>
    <row r="21">
      <c r="B21" s="5" t="inlineStr">
        <is>
          <t>COMPUTED RATIOS — do not edit, these calculate</t>
        </is>
      </c>
      <c r="C21" s="6" t="inlineStr"/>
      <c r="D21" s="6" t="inlineStr"/>
      <c r="E21" s="6" t="inlineStr"/>
    </row>
    <row r="22">
      <c r="B22" s="8" t="inlineStr">
        <is>
          <t>Revenue 3-yr CAGR</t>
        </is>
      </c>
      <c r="D22" s="21">
        <f>IFERROR((D6/D7)^(1/3)-1,"")</f>
        <v/>
      </c>
    </row>
    <row r="23">
      <c r="B23" s="8" t="inlineStr">
        <is>
          <t>ROIC  (NOPAT / invested capital)</t>
        </is>
      </c>
      <c r="D23" s="21">
        <f>IFERROR(D8*(1-D10)/(D14+D16-D15),"")</f>
        <v/>
      </c>
    </row>
    <row r="24">
      <c r="B24" s="8" t="inlineStr">
        <is>
          <t>FCF conversion  (OCF-capex)/NI</t>
        </is>
      </c>
      <c r="D24" s="21">
        <f>IFERROR((D12-D13)/D11,"")</f>
        <v/>
      </c>
    </row>
    <row r="25">
      <c r="B25" s="8" t="inlineStr">
        <is>
          <t>Net debt / EBITDA</t>
        </is>
      </c>
      <c r="D25" s="22">
        <f>IFERROR((D14-D15)/D9,"")</f>
        <v/>
      </c>
    </row>
    <row r="26">
      <c r="B26" s="8" t="inlineStr">
        <is>
          <t>EBIT interest cover</t>
        </is>
      </c>
      <c r="D26" s="22">
        <f>IFERROR(D8/D17,"")</f>
        <v/>
      </c>
    </row>
    <row r="27">
      <c r="B27" s="8" t="inlineStr">
        <is>
          <t>EV / EBITDA</t>
        </is>
      </c>
      <c r="D27" s="22">
        <f>IFERROR((D18+D14-D15)/D9,"")</f>
        <v/>
      </c>
    </row>
    <row r="29">
      <c r="B29" s="5" t="inlineStr">
        <is>
          <t>BUILDOUT TEST — the four gates, now actually tested</t>
        </is>
      </c>
      <c r="C29" s="6" t="inlineStr"/>
      <c r="D29" s="6" t="inlineStr"/>
      <c r="E29" s="6" t="inlineStr"/>
    </row>
    <row r="30" ht="28" customHeight="1">
      <c r="B30" s="3" t="inlineStr">
        <is>
          <t>B1  Buildout</t>
        </is>
      </c>
      <c r="C30" s="23" t="inlineStr">
        <is>
          <t>&gt;=20% of revenue or 3-yr capex tied to a PUBLISHED capacity target</t>
        </is>
      </c>
      <c r="D30" s="18" t="n"/>
      <c r="E30" s="20" t="inlineStr">
        <is>
          <t>PASS/FAIL + the actual %, and name the programme (e.g. DOE NREP, disclosed fab capex)</t>
        </is>
      </c>
    </row>
    <row r="31" ht="28" customHeight="1">
      <c r="B31" s="3" t="inlineStr">
        <is>
          <t>B2  Liquidity</t>
        </is>
      </c>
      <c r="C31" s="23" t="inlineStr">
        <is>
          <t>90-day ADTV &gt;= PHP30M (PH) / USD5M (offshore); free float &gt;=20%</t>
        </is>
      </c>
      <c r="D31" s="18" t="n"/>
      <c r="E31" s="20" t="inlineStr">
        <is>
          <t>PASS/FAIL + the ADTV figure and its source</t>
        </is>
      </c>
    </row>
    <row r="32" ht="28" customHeight="1">
      <c r="B32" s="3" t="inlineStr">
        <is>
          <t>B3  Solvency</t>
        </is>
      </c>
      <c r="C32" s="23" t="inlineStr">
        <is>
          <t>Net debt/EBITDA &lt;=4.0x OR net cash; if net debt positive, interest cover &gt;=2.5x</t>
        </is>
      </c>
      <c r="D32" s="18" t="n"/>
      <c r="E32" s="20" t="inlineStr">
        <is>
          <t>PASS/FAIL — read it off the computed ratios above</t>
        </is>
      </c>
    </row>
    <row r="33" ht="28" customHeight="1">
      <c r="B33" s="3" t="inlineStr">
        <is>
          <t>B4  Conduct</t>
        </is>
      </c>
      <c r="C33" s="23" t="inlineStr">
        <is>
          <t>No thermal coal &gt;10% of revenue; no UNGC breach; CG disclosure</t>
        </is>
      </c>
      <c r="D33" s="18" t="n"/>
      <c r="E33" s="20" t="inlineStr">
        <is>
          <t>PASS/FAIL + note any controversy found</t>
        </is>
      </c>
    </row>
    <row r="35">
      <c r="B35" s="5" t="inlineStr">
        <is>
          <t>FIRST SCORE — replace the assigned score with a derived one</t>
        </is>
      </c>
      <c r="C35" s="6" t="inlineStr"/>
      <c r="D35" s="6" t="inlineStr"/>
      <c r="E35" s="6" t="inlineStr"/>
    </row>
    <row r="36">
      <c r="B36" s="24" t="inlineStr">
        <is>
          <t>Factor</t>
        </is>
      </c>
      <c r="C36" s="24" t="inlineStr">
        <is>
          <t>Weight</t>
        </is>
      </c>
      <c r="D36" s="24" t="inlineStr">
        <is>
          <t>Score 0-100</t>
        </is>
      </c>
      <c r="E36" s="24" t="inlineStr">
        <is>
          <t>Evidence you are scoring on</t>
        </is>
      </c>
    </row>
    <row r="37" ht="26" customHeight="1">
      <c r="B37" s="8" t="inlineStr">
        <is>
          <t>F — Future Relevance</t>
        </is>
      </c>
      <c r="C37" s="25" t="n">
        <v>0.25</v>
      </c>
      <c r="D37" s="18" t="n"/>
      <c r="E37" s="20" t="inlineStr">
        <is>
          <t>Scale and duration of the buildout; order backlog or contracted capacity</t>
        </is>
      </c>
    </row>
    <row r="38" ht="26" customHeight="1">
      <c r="B38" s="8" t="inlineStr">
        <is>
          <t>I — Impact on Youth</t>
        </is>
      </c>
      <c r="C38" s="25" t="n">
        <v>0.15</v>
      </c>
      <c r="D38" s="18" t="n"/>
      <c r="E38" s="20" t="inlineStr">
        <is>
          <t>Directness of link to a named "first"; segment revenue if disclosed</t>
        </is>
      </c>
    </row>
    <row r="39" ht="26" customHeight="1">
      <c r="B39" s="8" t="inlineStr">
        <is>
          <t>R — Resilient Finances</t>
        </is>
      </c>
      <c r="C39" s="25" t="n">
        <v>0.25</v>
      </c>
      <c r="D39" s="18" t="n"/>
      <c r="E39" s="20" t="inlineStr">
        <is>
          <t>Use the ROIC, FCF conversion and leverage computed above</t>
        </is>
      </c>
    </row>
    <row r="40" ht="26" customHeight="1">
      <c r="B40" s="8" t="inlineStr">
        <is>
          <t>S — Sensible Valuation</t>
        </is>
      </c>
      <c r="C40" s="25" t="n">
        <v>0.2</v>
      </c>
      <c r="D40" s="18" t="n"/>
      <c r="E40" s="20" t="inlineStr">
        <is>
          <t>EV/EBITDA vs the company's own 5-year range</t>
        </is>
      </c>
    </row>
    <row r="41" ht="26" customHeight="1">
      <c r="B41" s="8" t="inlineStr">
        <is>
          <t>T — Trust &amp; Governance</t>
        </is>
      </c>
      <c r="C41" s="25" t="n">
        <v>0.15</v>
      </c>
      <c r="D41" s="18" t="n"/>
      <c r="E41" s="20" t="inlineStr">
        <is>
          <t>Free float, related-party transactions, board independence</t>
        </is>
      </c>
    </row>
    <row r="42">
      <c r="B42" s="3" t="inlineStr">
        <is>
          <t>WEIGHTED CONVICTION SCORE</t>
        </is>
      </c>
      <c r="D42" s="26">
        <f>IFERROR(SUMPRODUCT(C37:C41,D37:D41),"")</f>
        <v/>
      </c>
    </row>
    <row r="44">
      <c r="B44" s="8" t="inlineStr">
        <is>
          <t>Score currently assumed in the engine</t>
        </is>
      </c>
      <c r="D44" s="14" t="n">
        <v>86</v>
      </c>
    </row>
    <row r="45">
      <c r="B45" s="8" t="inlineStr">
        <is>
          <t>Difference</t>
        </is>
      </c>
      <c r="D45" s="16">
        <f>IFERROR(D42-D44,"")</f>
        <v/>
      </c>
    </row>
    <row r="47">
      <c r="B47" s="5" t="inlineStr">
        <is>
          <t>SOURCES USED</t>
        </is>
      </c>
      <c r="C47" s="6" t="inlineStr"/>
      <c r="D47" s="6" t="inlineStr"/>
      <c r="E47" s="6" t="inlineStr"/>
    </row>
    <row r="48">
      <c r="B48" s="8" t="inlineStr">
        <is>
          <t>Source 1</t>
        </is>
      </c>
      <c r="C48" s="18" t="n"/>
      <c r="D48" s="27" t="n"/>
      <c r="E48" s="28" t="n"/>
    </row>
    <row r="49">
      <c r="B49" s="8" t="inlineStr">
        <is>
          <t>Source 2</t>
        </is>
      </c>
      <c r="C49" s="18" t="n"/>
      <c r="D49" s="27" t="n"/>
      <c r="E49" s="28" t="n"/>
    </row>
    <row r="50">
      <c r="B50" s="8" t="inlineStr">
        <is>
          <t>Source 3</t>
        </is>
      </c>
      <c r="C50" s="18" t="n"/>
      <c r="D50" s="27" t="n"/>
      <c r="E50" s="28" t="n"/>
    </row>
    <row r="51">
      <c r="B51" s="8" t="inlineStr">
        <is>
          <t>Source 4</t>
        </is>
      </c>
      <c r="C51" s="18" t="n"/>
      <c r="D51" s="27" t="n"/>
      <c r="E51" s="28" t="n"/>
    </row>
  </sheetData>
  <mergeCells count="4">
    <mergeCell ref="C49:E49"/>
    <mergeCell ref="C48:E48"/>
    <mergeCell ref="C50:E50"/>
    <mergeCell ref="C51:E5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E5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5" customWidth="1" min="4" max="4"/>
    <col width="40" customWidth="1" min="5" max="5"/>
    <col width="3" customWidth="1" min="6" max="6"/>
  </cols>
  <sheetData>
    <row r="2">
      <c r="B2" s="1" t="inlineStr">
        <is>
          <t>Sea Limited  (SE)</t>
        </is>
      </c>
    </row>
    <row r="3">
      <c r="B3" s="2" t="inlineStr">
        <is>
          <t>Priority 9  ·  Fill BLUE cells only  ·  every figure needs a source</t>
        </is>
      </c>
    </row>
    <row r="5">
      <c r="B5" s="5" t="inlineStr">
        <is>
          <t>RAW FIGURES — pull these from the filing</t>
        </is>
      </c>
      <c r="C5" s="6" t="inlineStr"/>
      <c r="D5" s="6" t="inlineStr"/>
      <c r="E5" s="6" t="inlineStr"/>
    </row>
    <row r="6">
      <c r="B6" s="8" t="inlineStr">
        <is>
          <t>Revenue, latest FY</t>
        </is>
      </c>
      <c r="C6" s="19" t="inlineStr">
        <is>
          <t>currency mn</t>
        </is>
      </c>
      <c r="D6" s="18" t="n"/>
      <c r="E6" s="20" t="inlineStr">
        <is>
          <t>Income statement</t>
        </is>
      </c>
    </row>
    <row r="7">
      <c r="B7" s="8" t="inlineStr">
        <is>
          <t>Revenue, 3 years ago</t>
        </is>
      </c>
      <c r="C7" s="19" t="inlineStr">
        <is>
          <t>currency mn</t>
        </is>
      </c>
      <c r="D7" s="18" t="n"/>
      <c r="E7" s="20" t="inlineStr">
        <is>
          <t>Income statement, comparatives</t>
        </is>
      </c>
    </row>
    <row r="8">
      <c r="B8" s="8" t="inlineStr">
        <is>
          <t>EBIT (operating profit)</t>
        </is>
      </c>
      <c r="C8" s="19" t="inlineStr">
        <is>
          <t>currency mn</t>
        </is>
      </c>
      <c r="D8" s="18" t="n"/>
      <c r="E8" s="20" t="inlineStr">
        <is>
          <t>Income statement</t>
        </is>
      </c>
    </row>
    <row r="9">
      <c r="B9" s="8" t="inlineStr">
        <is>
          <t>EBITDA</t>
        </is>
      </c>
      <c r="C9" s="19" t="inlineStr">
        <is>
          <t>currency mn</t>
        </is>
      </c>
      <c r="D9" s="18" t="n"/>
      <c r="E9" s="20" t="inlineStr">
        <is>
          <t>Income statement or MD&amp;A</t>
        </is>
      </c>
    </row>
    <row r="10">
      <c r="B10" s="8" t="inlineStr">
        <is>
          <t>Effective tax rate</t>
        </is>
      </c>
      <c r="C10" s="19" t="inlineStr">
        <is>
          <t>decimal e.g. 0.25</t>
        </is>
      </c>
      <c r="D10" s="18" t="n"/>
      <c r="E10" s="20" t="inlineStr">
        <is>
          <t>Tax note</t>
        </is>
      </c>
    </row>
    <row r="11">
      <c r="B11" s="8" t="inlineStr">
        <is>
          <t>Net income</t>
        </is>
      </c>
      <c r="C11" s="19" t="inlineStr">
        <is>
          <t>currency mn</t>
        </is>
      </c>
      <c r="D11" s="18" t="n"/>
      <c r="E11" s="20" t="inlineStr">
        <is>
          <t>Income statement</t>
        </is>
      </c>
    </row>
    <row r="12">
      <c r="B12" s="8" t="inlineStr">
        <is>
          <t>Operating cash flow</t>
        </is>
      </c>
      <c r="C12" s="19" t="inlineStr">
        <is>
          <t>currency mn</t>
        </is>
      </c>
      <c r="D12" s="18" t="n"/>
      <c r="E12" s="20" t="inlineStr">
        <is>
          <t>Cash flow statement</t>
        </is>
      </c>
    </row>
    <row r="13">
      <c r="B13" s="8" t="inlineStr">
        <is>
          <t>Capital expenditure</t>
        </is>
      </c>
      <c r="C13" s="19" t="inlineStr">
        <is>
          <t>currency mn</t>
        </is>
      </c>
      <c r="D13" s="18" t="n"/>
      <c r="E13" s="20" t="inlineStr">
        <is>
          <t>Cash flow statement — investing</t>
        </is>
      </c>
    </row>
    <row r="14">
      <c r="B14" s="8" t="inlineStr">
        <is>
          <t>Total debt</t>
        </is>
      </c>
      <c r="C14" s="19" t="inlineStr">
        <is>
          <t>currency mn</t>
        </is>
      </c>
      <c r="D14" s="18" t="n"/>
      <c r="E14" s="20" t="inlineStr">
        <is>
          <t>Balance sheet</t>
        </is>
      </c>
    </row>
    <row r="15">
      <c r="B15" s="8" t="inlineStr">
        <is>
          <t>Cash &amp; equivalents</t>
        </is>
      </c>
      <c r="C15" s="19" t="inlineStr">
        <is>
          <t>currency mn</t>
        </is>
      </c>
      <c r="D15" s="18" t="n"/>
      <c r="E15" s="20" t="inlineStr">
        <is>
          <t>Balance sheet</t>
        </is>
      </c>
    </row>
    <row r="16">
      <c r="B16" s="8" t="inlineStr">
        <is>
          <t>Total equity</t>
        </is>
      </c>
      <c r="C16" s="19" t="inlineStr">
        <is>
          <t>currency mn</t>
        </is>
      </c>
      <c r="D16" s="18" t="n"/>
      <c r="E16" s="20" t="inlineStr">
        <is>
          <t>Balance sheet</t>
        </is>
      </c>
    </row>
    <row r="17">
      <c r="B17" s="8" t="inlineStr">
        <is>
          <t>Interest expense</t>
        </is>
      </c>
      <c r="C17" s="19" t="inlineStr">
        <is>
          <t>currency mn</t>
        </is>
      </c>
      <c r="D17" s="18" t="n"/>
      <c r="E17" s="20" t="inlineStr">
        <is>
          <t>Finance costs note</t>
        </is>
      </c>
    </row>
    <row r="18">
      <c r="B18" s="8" t="inlineStr">
        <is>
          <t>Market capitalisation</t>
        </is>
      </c>
      <c r="C18" s="19" t="inlineStr">
        <is>
          <t>currency mn</t>
        </is>
      </c>
      <c r="D18" s="18" t="n"/>
      <c r="E18" s="20" t="inlineStr">
        <is>
          <t>Share price x shares out</t>
        </is>
      </c>
    </row>
    <row r="19">
      <c r="B19" s="8" t="inlineStr">
        <is>
          <t>Free float</t>
        </is>
      </c>
      <c r="C19" s="19" t="inlineStr">
        <is>
          <t>%  e.g. 0.35</t>
        </is>
      </c>
      <c r="D19" s="18" t="n"/>
      <c r="E19" s="20" t="inlineStr">
        <is>
          <t>Ownership / shareholding note</t>
        </is>
      </c>
    </row>
    <row r="21">
      <c r="B21" s="5" t="inlineStr">
        <is>
          <t>COMPUTED RATIOS — do not edit, these calculate</t>
        </is>
      </c>
      <c r="C21" s="6" t="inlineStr"/>
      <c r="D21" s="6" t="inlineStr"/>
      <c r="E21" s="6" t="inlineStr"/>
    </row>
    <row r="22">
      <c r="B22" s="8" t="inlineStr">
        <is>
          <t>Revenue 3-yr CAGR</t>
        </is>
      </c>
      <c r="D22" s="21">
        <f>IFERROR((D6/D7)^(1/3)-1,"")</f>
        <v/>
      </c>
    </row>
    <row r="23">
      <c r="B23" s="8" t="inlineStr">
        <is>
          <t>ROIC  (NOPAT / invested capital)</t>
        </is>
      </c>
      <c r="D23" s="21">
        <f>IFERROR(D8*(1-D10)/(D14+D16-D15),"")</f>
        <v/>
      </c>
    </row>
    <row r="24">
      <c r="B24" s="8" t="inlineStr">
        <is>
          <t>FCF conversion  (OCF-capex)/NI</t>
        </is>
      </c>
      <c r="D24" s="21">
        <f>IFERROR((D12-D13)/D11,"")</f>
        <v/>
      </c>
    </row>
    <row r="25">
      <c r="B25" s="8" t="inlineStr">
        <is>
          <t>Net debt / EBITDA</t>
        </is>
      </c>
      <c r="D25" s="22">
        <f>IFERROR((D14-D15)/D9,"")</f>
        <v/>
      </c>
    </row>
    <row r="26">
      <c r="B26" s="8" t="inlineStr">
        <is>
          <t>EBIT interest cover</t>
        </is>
      </c>
      <c r="D26" s="22">
        <f>IFERROR(D8/D17,"")</f>
        <v/>
      </c>
    </row>
    <row r="27">
      <c r="B27" s="8" t="inlineStr">
        <is>
          <t>EV / EBITDA</t>
        </is>
      </c>
      <c r="D27" s="22">
        <f>IFERROR((D18+D14-D15)/D9,"")</f>
        <v/>
      </c>
    </row>
    <row r="29">
      <c r="B29" s="5" t="inlineStr">
        <is>
          <t>BUILDOUT TEST — the four gates, now actually tested</t>
        </is>
      </c>
      <c r="C29" s="6" t="inlineStr"/>
      <c r="D29" s="6" t="inlineStr"/>
      <c r="E29" s="6" t="inlineStr"/>
    </row>
    <row r="30" ht="28" customHeight="1">
      <c r="B30" s="3" t="inlineStr">
        <is>
          <t>B1  Buildout</t>
        </is>
      </c>
      <c r="C30" s="23" t="inlineStr">
        <is>
          <t>&gt;=20% of revenue or 3-yr capex tied to a PUBLISHED capacity target</t>
        </is>
      </c>
      <c r="D30" s="18" t="n"/>
      <c r="E30" s="20" t="inlineStr">
        <is>
          <t>PASS/FAIL + the actual %, and name the programme (e.g. DOE NREP, disclosed fab capex)</t>
        </is>
      </c>
    </row>
    <row r="31" ht="28" customHeight="1">
      <c r="B31" s="3" t="inlineStr">
        <is>
          <t>B2  Liquidity</t>
        </is>
      </c>
      <c r="C31" s="23" t="inlineStr">
        <is>
          <t>90-day ADTV &gt;= PHP30M (PH) / USD5M (offshore); free float &gt;=20%</t>
        </is>
      </c>
      <c r="D31" s="18" t="n"/>
      <c r="E31" s="20" t="inlineStr">
        <is>
          <t>PASS/FAIL + the ADTV figure and its source</t>
        </is>
      </c>
    </row>
    <row r="32" ht="28" customHeight="1">
      <c r="B32" s="3" t="inlineStr">
        <is>
          <t>B3  Solvency</t>
        </is>
      </c>
      <c r="C32" s="23" t="inlineStr">
        <is>
          <t>Net debt/EBITDA &lt;=4.0x OR net cash; if net debt positive, interest cover &gt;=2.5x</t>
        </is>
      </c>
      <c r="D32" s="18" t="n"/>
      <c r="E32" s="20" t="inlineStr">
        <is>
          <t>PASS/FAIL — read it off the computed ratios above</t>
        </is>
      </c>
    </row>
    <row r="33" ht="28" customHeight="1">
      <c r="B33" s="3" t="inlineStr">
        <is>
          <t>B4  Conduct</t>
        </is>
      </c>
      <c r="C33" s="23" t="inlineStr">
        <is>
          <t>No thermal coal &gt;10% of revenue; no UNGC breach; CG disclosure</t>
        </is>
      </c>
      <c r="D33" s="18" t="n"/>
      <c r="E33" s="20" t="inlineStr">
        <is>
          <t>PASS/FAIL + note any controversy found</t>
        </is>
      </c>
    </row>
    <row r="35">
      <c r="B35" s="5" t="inlineStr">
        <is>
          <t>FIRST SCORE — replace the assigned score with a derived one</t>
        </is>
      </c>
      <c r="C35" s="6" t="inlineStr"/>
      <c r="D35" s="6" t="inlineStr"/>
      <c r="E35" s="6" t="inlineStr"/>
    </row>
    <row r="36">
      <c r="B36" s="24" t="inlineStr">
        <is>
          <t>Factor</t>
        </is>
      </c>
      <c r="C36" s="24" t="inlineStr">
        <is>
          <t>Weight</t>
        </is>
      </c>
      <c r="D36" s="24" t="inlineStr">
        <is>
          <t>Score 0-100</t>
        </is>
      </c>
      <c r="E36" s="24" t="inlineStr">
        <is>
          <t>Evidence you are scoring on</t>
        </is>
      </c>
    </row>
    <row r="37" ht="26" customHeight="1">
      <c r="B37" s="8" t="inlineStr">
        <is>
          <t>F — Future Relevance</t>
        </is>
      </c>
      <c r="C37" s="25" t="n">
        <v>0.25</v>
      </c>
      <c r="D37" s="18" t="n"/>
      <c r="E37" s="20" t="inlineStr">
        <is>
          <t>Scale and duration of the buildout; order backlog or contracted capacity</t>
        </is>
      </c>
    </row>
    <row r="38" ht="26" customHeight="1">
      <c r="B38" s="8" t="inlineStr">
        <is>
          <t>I — Impact on Youth</t>
        </is>
      </c>
      <c r="C38" s="25" t="n">
        <v>0.15</v>
      </c>
      <c r="D38" s="18" t="n"/>
      <c r="E38" s="20" t="inlineStr">
        <is>
          <t>Directness of link to a named "first"; segment revenue if disclosed</t>
        </is>
      </c>
    </row>
    <row r="39" ht="26" customHeight="1">
      <c r="B39" s="8" t="inlineStr">
        <is>
          <t>R — Resilient Finances</t>
        </is>
      </c>
      <c r="C39" s="25" t="n">
        <v>0.25</v>
      </c>
      <c r="D39" s="18" t="n"/>
      <c r="E39" s="20" t="inlineStr">
        <is>
          <t>Use the ROIC, FCF conversion and leverage computed above</t>
        </is>
      </c>
    </row>
    <row r="40" ht="26" customHeight="1">
      <c r="B40" s="8" t="inlineStr">
        <is>
          <t>S — Sensible Valuation</t>
        </is>
      </c>
      <c r="C40" s="25" t="n">
        <v>0.2</v>
      </c>
      <c r="D40" s="18" t="n"/>
      <c r="E40" s="20" t="inlineStr">
        <is>
          <t>EV/EBITDA vs the company's own 5-year range</t>
        </is>
      </c>
    </row>
    <row r="41" ht="26" customHeight="1">
      <c r="B41" s="8" t="inlineStr">
        <is>
          <t>T — Trust &amp; Governance</t>
        </is>
      </c>
      <c r="C41" s="25" t="n">
        <v>0.15</v>
      </c>
      <c r="D41" s="18" t="n"/>
      <c r="E41" s="20" t="inlineStr">
        <is>
          <t>Free float, related-party transactions, board independence</t>
        </is>
      </c>
    </row>
    <row r="42">
      <c r="B42" s="3" t="inlineStr">
        <is>
          <t>WEIGHTED CONVICTION SCORE</t>
        </is>
      </c>
      <c r="D42" s="26">
        <f>IFERROR(SUMPRODUCT(C37:C41,D37:D41),"")</f>
        <v/>
      </c>
    </row>
    <row r="44">
      <c r="B44" s="8" t="inlineStr">
        <is>
          <t>Score currently assumed in the engine</t>
        </is>
      </c>
      <c r="D44" s="14" t="n">
        <v>72</v>
      </c>
    </row>
    <row r="45">
      <c r="B45" s="8" t="inlineStr">
        <is>
          <t>Difference</t>
        </is>
      </c>
      <c r="D45" s="16">
        <f>IFERROR(D42-D44,"")</f>
        <v/>
      </c>
    </row>
    <row r="47">
      <c r="B47" s="5" t="inlineStr">
        <is>
          <t>SOURCES USED</t>
        </is>
      </c>
      <c r="C47" s="6" t="inlineStr"/>
      <c r="D47" s="6" t="inlineStr"/>
      <c r="E47" s="6" t="inlineStr"/>
    </row>
    <row r="48">
      <c r="B48" s="8" t="inlineStr">
        <is>
          <t>Source 1</t>
        </is>
      </c>
      <c r="C48" s="18" t="n"/>
      <c r="D48" s="27" t="n"/>
      <c r="E48" s="28" t="n"/>
    </row>
    <row r="49">
      <c r="B49" s="8" t="inlineStr">
        <is>
          <t>Source 2</t>
        </is>
      </c>
      <c r="C49" s="18" t="n"/>
      <c r="D49" s="27" t="n"/>
      <c r="E49" s="28" t="n"/>
    </row>
    <row r="50">
      <c r="B50" s="8" t="inlineStr">
        <is>
          <t>Source 3</t>
        </is>
      </c>
      <c r="C50" s="18" t="n"/>
      <c r="D50" s="27" t="n"/>
      <c r="E50" s="28" t="n"/>
    </row>
    <row r="51">
      <c r="B51" s="8" t="inlineStr">
        <is>
          <t>Source 4</t>
        </is>
      </c>
      <c r="C51" s="18" t="n"/>
      <c r="D51" s="27" t="n"/>
      <c r="E51" s="28" t="n"/>
    </row>
  </sheetData>
  <mergeCells count="4">
    <mergeCell ref="C49:E49"/>
    <mergeCell ref="C48:E48"/>
    <mergeCell ref="C50:E50"/>
    <mergeCell ref="C51:E5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5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5" customWidth="1" min="4" max="4"/>
    <col width="40" customWidth="1" min="5" max="5"/>
    <col width="3" customWidth="1" min="6" max="6"/>
  </cols>
  <sheetData>
    <row r="2">
      <c r="B2" s="1" t="inlineStr">
        <is>
          <t>Grab Holdings  (GRAB)</t>
        </is>
      </c>
    </row>
    <row r="3">
      <c r="B3" s="2" t="inlineStr">
        <is>
          <t>Priority 10  ·  Fill BLUE cells only  ·  every figure needs a source</t>
        </is>
      </c>
    </row>
    <row r="5">
      <c r="B5" s="5" t="inlineStr">
        <is>
          <t>RAW FIGURES — pull these from the filing</t>
        </is>
      </c>
      <c r="C5" s="6" t="inlineStr"/>
      <c r="D5" s="6" t="inlineStr"/>
      <c r="E5" s="6" t="inlineStr"/>
    </row>
    <row r="6">
      <c r="B6" s="8" t="inlineStr">
        <is>
          <t>Revenue, latest FY</t>
        </is>
      </c>
      <c r="C6" s="19" t="inlineStr">
        <is>
          <t>currency mn</t>
        </is>
      </c>
      <c r="D6" s="18" t="n"/>
      <c r="E6" s="20" t="inlineStr">
        <is>
          <t>Income statement</t>
        </is>
      </c>
    </row>
    <row r="7">
      <c r="B7" s="8" t="inlineStr">
        <is>
          <t>Revenue, 3 years ago</t>
        </is>
      </c>
      <c r="C7" s="19" t="inlineStr">
        <is>
          <t>currency mn</t>
        </is>
      </c>
      <c r="D7" s="18" t="n"/>
      <c r="E7" s="20" t="inlineStr">
        <is>
          <t>Income statement, comparatives</t>
        </is>
      </c>
    </row>
    <row r="8">
      <c r="B8" s="8" t="inlineStr">
        <is>
          <t>EBIT (operating profit)</t>
        </is>
      </c>
      <c r="C8" s="19" t="inlineStr">
        <is>
          <t>currency mn</t>
        </is>
      </c>
      <c r="D8" s="18" t="n"/>
      <c r="E8" s="20" t="inlineStr">
        <is>
          <t>Income statement</t>
        </is>
      </c>
    </row>
    <row r="9">
      <c r="B9" s="8" t="inlineStr">
        <is>
          <t>EBITDA</t>
        </is>
      </c>
      <c r="C9" s="19" t="inlineStr">
        <is>
          <t>currency mn</t>
        </is>
      </c>
      <c r="D9" s="18" t="n"/>
      <c r="E9" s="20" t="inlineStr">
        <is>
          <t>Income statement or MD&amp;A</t>
        </is>
      </c>
    </row>
    <row r="10">
      <c r="B10" s="8" t="inlineStr">
        <is>
          <t>Effective tax rate</t>
        </is>
      </c>
      <c r="C10" s="19" t="inlineStr">
        <is>
          <t>decimal e.g. 0.25</t>
        </is>
      </c>
      <c r="D10" s="18" t="n"/>
      <c r="E10" s="20" t="inlineStr">
        <is>
          <t>Tax note</t>
        </is>
      </c>
    </row>
    <row r="11">
      <c r="B11" s="8" t="inlineStr">
        <is>
          <t>Net income</t>
        </is>
      </c>
      <c r="C11" s="19" t="inlineStr">
        <is>
          <t>currency mn</t>
        </is>
      </c>
      <c r="D11" s="18" t="n"/>
      <c r="E11" s="20" t="inlineStr">
        <is>
          <t>Income statement</t>
        </is>
      </c>
    </row>
    <row r="12">
      <c r="B12" s="8" t="inlineStr">
        <is>
          <t>Operating cash flow</t>
        </is>
      </c>
      <c r="C12" s="19" t="inlineStr">
        <is>
          <t>currency mn</t>
        </is>
      </c>
      <c r="D12" s="18" t="n"/>
      <c r="E12" s="20" t="inlineStr">
        <is>
          <t>Cash flow statement</t>
        </is>
      </c>
    </row>
    <row r="13">
      <c r="B13" s="8" t="inlineStr">
        <is>
          <t>Capital expenditure</t>
        </is>
      </c>
      <c r="C13" s="19" t="inlineStr">
        <is>
          <t>currency mn</t>
        </is>
      </c>
      <c r="D13" s="18" t="n"/>
      <c r="E13" s="20" t="inlineStr">
        <is>
          <t>Cash flow statement — investing</t>
        </is>
      </c>
    </row>
    <row r="14">
      <c r="B14" s="8" t="inlineStr">
        <is>
          <t>Total debt</t>
        </is>
      </c>
      <c r="C14" s="19" t="inlineStr">
        <is>
          <t>currency mn</t>
        </is>
      </c>
      <c r="D14" s="18" t="n"/>
      <c r="E14" s="20" t="inlineStr">
        <is>
          <t>Balance sheet</t>
        </is>
      </c>
    </row>
    <row r="15">
      <c r="B15" s="8" t="inlineStr">
        <is>
          <t>Cash &amp; equivalents</t>
        </is>
      </c>
      <c r="C15" s="19" t="inlineStr">
        <is>
          <t>currency mn</t>
        </is>
      </c>
      <c r="D15" s="18" t="n"/>
      <c r="E15" s="20" t="inlineStr">
        <is>
          <t>Balance sheet</t>
        </is>
      </c>
    </row>
    <row r="16">
      <c r="B16" s="8" t="inlineStr">
        <is>
          <t>Total equity</t>
        </is>
      </c>
      <c r="C16" s="19" t="inlineStr">
        <is>
          <t>currency mn</t>
        </is>
      </c>
      <c r="D16" s="18" t="n"/>
      <c r="E16" s="20" t="inlineStr">
        <is>
          <t>Balance sheet</t>
        </is>
      </c>
    </row>
    <row r="17">
      <c r="B17" s="8" t="inlineStr">
        <is>
          <t>Interest expense</t>
        </is>
      </c>
      <c r="C17" s="19" t="inlineStr">
        <is>
          <t>currency mn</t>
        </is>
      </c>
      <c r="D17" s="18" t="n"/>
      <c r="E17" s="20" t="inlineStr">
        <is>
          <t>Finance costs note</t>
        </is>
      </c>
    </row>
    <row r="18">
      <c r="B18" s="8" t="inlineStr">
        <is>
          <t>Market capitalisation</t>
        </is>
      </c>
      <c r="C18" s="19" t="inlineStr">
        <is>
          <t>currency mn</t>
        </is>
      </c>
      <c r="D18" s="18" t="n"/>
      <c r="E18" s="20" t="inlineStr">
        <is>
          <t>Share price x shares out</t>
        </is>
      </c>
    </row>
    <row r="19">
      <c r="B19" s="8" t="inlineStr">
        <is>
          <t>Free float</t>
        </is>
      </c>
      <c r="C19" s="19" t="inlineStr">
        <is>
          <t>%  e.g. 0.35</t>
        </is>
      </c>
      <c r="D19" s="18" t="n"/>
      <c r="E19" s="20" t="inlineStr">
        <is>
          <t>Ownership / shareholding note</t>
        </is>
      </c>
    </row>
    <row r="21">
      <c r="B21" s="5" t="inlineStr">
        <is>
          <t>COMPUTED RATIOS — do not edit, these calculate</t>
        </is>
      </c>
      <c r="C21" s="6" t="inlineStr"/>
      <c r="D21" s="6" t="inlineStr"/>
      <c r="E21" s="6" t="inlineStr"/>
    </row>
    <row r="22">
      <c r="B22" s="8" t="inlineStr">
        <is>
          <t>Revenue 3-yr CAGR</t>
        </is>
      </c>
      <c r="D22" s="21">
        <f>IFERROR((D6/D7)^(1/3)-1,"")</f>
        <v/>
      </c>
    </row>
    <row r="23">
      <c r="B23" s="8" t="inlineStr">
        <is>
          <t>ROIC  (NOPAT / invested capital)</t>
        </is>
      </c>
      <c r="D23" s="21">
        <f>IFERROR(D8*(1-D10)/(D14+D16-D15),"")</f>
        <v/>
      </c>
    </row>
    <row r="24">
      <c r="B24" s="8" t="inlineStr">
        <is>
          <t>FCF conversion  (OCF-capex)/NI</t>
        </is>
      </c>
      <c r="D24" s="21">
        <f>IFERROR((D12-D13)/D11,"")</f>
        <v/>
      </c>
    </row>
    <row r="25">
      <c r="B25" s="8" t="inlineStr">
        <is>
          <t>Net debt / EBITDA</t>
        </is>
      </c>
      <c r="D25" s="22">
        <f>IFERROR((D14-D15)/D9,"")</f>
        <v/>
      </c>
    </row>
    <row r="26">
      <c r="B26" s="8" t="inlineStr">
        <is>
          <t>EBIT interest cover</t>
        </is>
      </c>
      <c r="D26" s="22">
        <f>IFERROR(D8/D17,"")</f>
        <v/>
      </c>
    </row>
    <row r="27">
      <c r="B27" s="8" t="inlineStr">
        <is>
          <t>EV / EBITDA</t>
        </is>
      </c>
      <c r="D27" s="22">
        <f>IFERROR((D18+D14-D15)/D9,"")</f>
        <v/>
      </c>
    </row>
    <row r="29">
      <c r="B29" s="5" t="inlineStr">
        <is>
          <t>BUILDOUT TEST — the four gates, now actually tested</t>
        </is>
      </c>
      <c r="C29" s="6" t="inlineStr"/>
      <c r="D29" s="6" t="inlineStr"/>
      <c r="E29" s="6" t="inlineStr"/>
    </row>
    <row r="30" ht="28" customHeight="1">
      <c r="B30" s="3" t="inlineStr">
        <is>
          <t>B1  Buildout</t>
        </is>
      </c>
      <c r="C30" s="23" t="inlineStr">
        <is>
          <t>&gt;=20% of revenue or 3-yr capex tied to a PUBLISHED capacity target</t>
        </is>
      </c>
      <c r="D30" s="18" t="n"/>
      <c r="E30" s="20" t="inlineStr">
        <is>
          <t>PASS/FAIL + the actual %, and name the programme (e.g. DOE NREP, disclosed fab capex)</t>
        </is>
      </c>
    </row>
    <row r="31" ht="28" customHeight="1">
      <c r="B31" s="3" t="inlineStr">
        <is>
          <t>B2  Liquidity</t>
        </is>
      </c>
      <c r="C31" s="23" t="inlineStr">
        <is>
          <t>90-day ADTV &gt;= PHP30M (PH) / USD5M (offshore); free float &gt;=20%</t>
        </is>
      </c>
      <c r="D31" s="18" t="n"/>
      <c r="E31" s="20" t="inlineStr">
        <is>
          <t>PASS/FAIL + the ADTV figure and its source</t>
        </is>
      </c>
    </row>
    <row r="32" ht="28" customHeight="1">
      <c r="B32" s="3" t="inlineStr">
        <is>
          <t>B3  Solvency</t>
        </is>
      </c>
      <c r="C32" s="23" t="inlineStr">
        <is>
          <t>Net debt/EBITDA &lt;=4.0x OR net cash; if net debt positive, interest cover &gt;=2.5x</t>
        </is>
      </c>
      <c r="D32" s="18" t="n"/>
      <c r="E32" s="20" t="inlineStr">
        <is>
          <t>PASS/FAIL — read it off the computed ratios above</t>
        </is>
      </c>
    </row>
    <row r="33" ht="28" customHeight="1">
      <c r="B33" s="3" t="inlineStr">
        <is>
          <t>B4  Conduct</t>
        </is>
      </c>
      <c r="C33" s="23" t="inlineStr">
        <is>
          <t>No thermal coal &gt;10% of revenue; no UNGC breach; CG disclosure</t>
        </is>
      </c>
      <c r="D33" s="18" t="n"/>
      <c r="E33" s="20" t="inlineStr">
        <is>
          <t>PASS/FAIL + note any controversy found</t>
        </is>
      </c>
    </row>
    <row r="35">
      <c r="B35" s="5" t="inlineStr">
        <is>
          <t>FIRST SCORE — replace the assigned score with a derived one</t>
        </is>
      </c>
      <c r="C35" s="6" t="inlineStr"/>
      <c r="D35" s="6" t="inlineStr"/>
      <c r="E35" s="6" t="inlineStr"/>
    </row>
    <row r="36">
      <c r="B36" s="24" t="inlineStr">
        <is>
          <t>Factor</t>
        </is>
      </c>
      <c r="C36" s="24" t="inlineStr">
        <is>
          <t>Weight</t>
        </is>
      </c>
      <c r="D36" s="24" t="inlineStr">
        <is>
          <t>Score 0-100</t>
        </is>
      </c>
      <c r="E36" s="24" t="inlineStr">
        <is>
          <t>Evidence you are scoring on</t>
        </is>
      </c>
    </row>
    <row r="37" ht="26" customHeight="1">
      <c r="B37" s="8" t="inlineStr">
        <is>
          <t>F — Future Relevance</t>
        </is>
      </c>
      <c r="C37" s="25" t="n">
        <v>0.25</v>
      </c>
      <c r="D37" s="18" t="n"/>
      <c r="E37" s="20" t="inlineStr">
        <is>
          <t>Scale and duration of the buildout; order backlog or contracted capacity</t>
        </is>
      </c>
    </row>
    <row r="38" ht="26" customHeight="1">
      <c r="B38" s="8" t="inlineStr">
        <is>
          <t>I — Impact on Youth</t>
        </is>
      </c>
      <c r="C38" s="25" t="n">
        <v>0.15</v>
      </c>
      <c r="D38" s="18" t="n"/>
      <c r="E38" s="20" t="inlineStr">
        <is>
          <t>Directness of link to a named "first"; segment revenue if disclosed</t>
        </is>
      </c>
    </row>
    <row r="39" ht="26" customHeight="1">
      <c r="B39" s="8" t="inlineStr">
        <is>
          <t>R — Resilient Finances</t>
        </is>
      </c>
      <c r="C39" s="25" t="n">
        <v>0.25</v>
      </c>
      <c r="D39" s="18" t="n"/>
      <c r="E39" s="20" t="inlineStr">
        <is>
          <t>Use the ROIC, FCF conversion and leverage computed above</t>
        </is>
      </c>
    </row>
    <row r="40" ht="26" customHeight="1">
      <c r="B40" s="8" t="inlineStr">
        <is>
          <t>S — Sensible Valuation</t>
        </is>
      </c>
      <c r="C40" s="25" t="n">
        <v>0.2</v>
      </c>
      <c r="D40" s="18" t="n"/>
      <c r="E40" s="20" t="inlineStr">
        <is>
          <t>EV/EBITDA vs the company's own 5-year range</t>
        </is>
      </c>
    </row>
    <row r="41" ht="26" customHeight="1">
      <c r="B41" s="8" t="inlineStr">
        <is>
          <t>T — Trust &amp; Governance</t>
        </is>
      </c>
      <c r="C41" s="25" t="n">
        <v>0.15</v>
      </c>
      <c r="D41" s="18" t="n"/>
      <c r="E41" s="20" t="inlineStr">
        <is>
          <t>Free float, related-party transactions, board independence</t>
        </is>
      </c>
    </row>
    <row r="42">
      <c r="B42" s="3" t="inlineStr">
        <is>
          <t>WEIGHTED CONVICTION SCORE</t>
        </is>
      </c>
      <c r="D42" s="26">
        <f>IFERROR(SUMPRODUCT(C37:C41,D37:D41),"")</f>
        <v/>
      </c>
    </row>
    <row r="44">
      <c r="B44" s="8" t="inlineStr">
        <is>
          <t>Score currently assumed in the engine</t>
        </is>
      </c>
      <c r="D44" s="14" t="n">
        <v>70</v>
      </c>
    </row>
    <row r="45">
      <c r="B45" s="8" t="inlineStr">
        <is>
          <t>Difference</t>
        </is>
      </c>
      <c r="D45" s="16">
        <f>IFERROR(D42-D44,"")</f>
        <v/>
      </c>
    </row>
    <row r="47">
      <c r="B47" s="5" t="inlineStr">
        <is>
          <t>SOURCES USED</t>
        </is>
      </c>
      <c r="C47" s="6" t="inlineStr"/>
      <c r="D47" s="6" t="inlineStr"/>
      <c r="E47" s="6" t="inlineStr"/>
    </row>
    <row r="48">
      <c r="B48" s="8" t="inlineStr">
        <is>
          <t>Source 1</t>
        </is>
      </c>
      <c r="C48" s="18" t="n"/>
      <c r="D48" s="27" t="n"/>
      <c r="E48" s="28" t="n"/>
    </row>
    <row r="49">
      <c r="B49" s="8" t="inlineStr">
        <is>
          <t>Source 2</t>
        </is>
      </c>
      <c r="C49" s="18" t="n"/>
      <c r="D49" s="27" t="n"/>
      <c r="E49" s="28" t="n"/>
    </row>
    <row r="50">
      <c r="B50" s="8" t="inlineStr">
        <is>
          <t>Source 3</t>
        </is>
      </c>
      <c r="C50" s="18" t="n"/>
      <c r="D50" s="27" t="n"/>
      <c r="E50" s="28" t="n"/>
    </row>
    <row r="51">
      <c r="B51" s="8" t="inlineStr">
        <is>
          <t>Source 4</t>
        </is>
      </c>
      <c r="C51" s="18" t="n"/>
      <c r="D51" s="27" t="n"/>
      <c r="E51" s="28" t="n"/>
    </row>
  </sheetData>
  <mergeCells count="4">
    <mergeCell ref="C49:E49"/>
    <mergeCell ref="C48:E48"/>
    <mergeCell ref="C50:E50"/>
    <mergeCell ref="C51:E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2026-08-09T15:42:31Z</dcterms:created>
  <dcterms:modified xmlns:dcterms="http://purl.org/dc/terms/" xmlns:xsi="http://www.w3.org/2001/XMLSchema-instance" xsi:type="dcterms:W3CDTF">2026-08-09T15:42:31Z</dcterms:modified>
</cp:coreProperties>
</file>